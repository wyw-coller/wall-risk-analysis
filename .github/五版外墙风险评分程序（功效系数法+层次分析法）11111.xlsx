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3" windowHeight="8880" tabRatio="866" activeTab="5"/>
  </bookViews>
  <sheets>
    <sheet name="目录" sheetId="2" r:id="rId1"/>
    <sheet name="构建风险判断矩阵" sheetId="13" r:id="rId2"/>
    <sheet name="确定指标权重" sheetId="1" r:id="rId3"/>
    <sheet name="测算指标实际值 " sheetId="7" r:id="rId4"/>
    <sheet name="计算外墙病害风险评分" sheetId="12" r:id="rId5"/>
    <sheet name="外墙病害风险评价结果" sheetId="15" r:id="rId6"/>
  </sheets>
  <definedNames>
    <definedName name="表" localSheetId="1">_xleta.GET.WORKBOOK</definedName>
    <definedName name="表" localSheetId="4">_xleta.GET.WORKBOOK</definedName>
    <definedName name="表">_xleta.GET.WORKBOOK</definedName>
    <definedName name="更新">_xleta.GET.WORKBOOK</definedName>
    <definedName name="试验">_xleta.GET.WORKBOOK</definedName>
    <definedName name="运算实验">_xleta.GET.WORKBOOK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<sst xmlns="http://schemas.openxmlformats.org/spreadsheetml/2006/main" count="157" uniqueCount="112">
  <si>
    <t>返回主目录</t>
  </si>
  <si>
    <t>下一步</t>
  </si>
  <si>
    <r>
      <rPr>
        <b/>
        <sz val="18"/>
        <color theme="1"/>
        <rFont val="宋体"/>
        <charset val="134"/>
      </rPr>
      <t>外墙病害准则层判断矩阵</t>
    </r>
    <r>
      <rPr>
        <b/>
        <sz val="18"/>
        <color theme="1"/>
        <rFont val="Times New Roman"/>
        <charset val="134"/>
      </rPr>
      <t>R</t>
    </r>
  </si>
  <si>
    <r>
      <rPr>
        <b/>
        <sz val="14"/>
        <color theme="1"/>
        <rFont val="宋体"/>
        <charset val="134"/>
      </rPr>
      <t>一致性检验</t>
    </r>
  </si>
  <si>
    <t>n</t>
  </si>
  <si>
    <r>
      <rPr>
        <b/>
        <sz val="14"/>
        <color theme="1"/>
        <rFont val="等线"/>
        <charset val="134"/>
      </rPr>
      <t>一致性检验</t>
    </r>
    <r>
      <rPr>
        <b/>
        <sz val="14"/>
        <color theme="1"/>
        <rFont val="Times New Roman"/>
        <charset val="134"/>
      </rPr>
      <t>RI</t>
    </r>
    <r>
      <rPr>
        <b/>
        <sz val="14"/>
        <color theme="1"/>
        <rFont val="等线"/>
        <charset val="134"/>
      </rPr>
      <t>值</t>
    </r>
  </si>
  <si>
    <r>
      <rPr>
        <sz val="14"/>
        <color theme="1"/>
        <rFont val="宋体"/>
        <charset val="134"/>
      </rPr>
      <t>准则层</t>
    </r>
    <r>
      <rPr>
        <sz val="14"/>
        <color theme="1"/>
        <rFont val="Times New Roman"/>
        <charset val="134"/>
      </rPr>
      <t>R</t>
    </r>
  </si>
  <si>
    <t>开裂宽度</t>
  </si>
  <si>
    <t>空鼓面积</t>
  </si>
  <si>
    <t>剥落面积</t>
  </si>
  <si>
    <r>
      <rPr>
        <sz val="14"/>
        <color theme="1"/>
        <rFont val="等线"/>
        <charset val="134"/>
      </rPr>
      <t>几何平均</t>
    </r>
  </si>
  <si>
    <r>
      <rPr>
        <sz val="14"/>
        <color theme="1"/>
        <rFont val="等线"/>
        <charset val="134"/>
      </rPr>
      <t>权重</t>
    </r>
  </si>
  <si>
    <t>Aw</t>
  </si>
  <si>
    <r>
      <rPr>
        <sz val="14"/>
        <color theme="1"/>
        <rFont val="等线"/>
        <charset val="134"/>
      </rPr>
      <t>入</t>
    </r>
    <r>
      <rPr>
        <sz val="14"/>
        <color theme="1"/>
        <rFont val="Times New Roman"/>
        <charset val="134"/>
      </rPr>
      <t>=</t>
    </r>
  </si>
  <si>
    <r>
      <rPr>
        <sz val="11"/>
        <color theme="1"/>
        <rFont val="等线"/>
        <charset val="134"/>
      </rPr>
      <t>阶数</t>
    </r>
    <r>
      <rPr>
        <sz val="11"/>
        <color theme="1"/>
        <rFont val="Times New Roman"/>
        <charset val="134"/>
      </rPr>
      <t>n</t>
    </r>
  </si>
  <si>
    <r>
      <rPr>
        <sz val="14"/>
        <color theme="1"/>
        <rFont val="等线"/>
        <charset val="134"/>
      </rPr>
      <t>阶数</t>
    </r>
    <r>
      <rPr>
        <sz val="14"/>
        <color theme="1"/>
        <rFont val="Times New Roman"/>
        <charset val="134"/>
      </rPr>
      <t>n=</t>
    </r>
  </si>
  <si>
    <r>
      <rPr>
        <sz val="11"/>
        <color theme="1"/>
        <rFont val="Times New Roman"/>
        <charset val="134"/>
      </rPr>
      <t>RI</t>
    </r>
    <r>
      <rPr>
        <sz val="11"/>
        <color theme="1"/>
        <rFont val="等线"/>
        <charset val="134"/>
      </rPr>
      <t>值</t>
    </r>
  </si>
  <si>
    <t>CI=</t>
  </si>
  <si>
    <t>RI=</t>
  </si>
  <si>
    <r>
      <rPr>
        <sz val="14"/>
        <color theme="1"/>
        <rFont val="宋体"/>
        <charset val="134"/>
      </rPr>
      <t>列项和</t>
    </r>
  </si>
  <si>
    <t>CR=</t>
  </si>
  <si>
    <t>说明：根据剥落&gt;空鼓&gt;开裂的影响程度，构建的判断矩阵比例为1:2:3。</t>
  </si>
  <si>
    <t>上一步</t>
  </si>
  <si>
    <t>外墙病害风险评估指标权重表</t>
  </si>
  <si>
    <t>准则层</t>
  </si>
  <si>
    <t>准则层权重</t>
  </si>
  <si>
    <t>方案层</t>
  </si>
  <si>
    <t>方案层权重</t>
  </si>
  <si>
    <t>综合权重</t>
  </si>
  <si>
    <t>合计</t>
  </si>
  <si>
    <t>指标实际值测算表</t>
  </si>
  <si>
    <t>房屋编号</t>
  </si>
  <si>
    <t>001</t>
  </si>
  <si>
    <t>指标</t>
  </si>
  <si>
    <t>实际值</t>
  </si>
  <si>
    <t>单位</t>
  </si>
  <si>
    <t>风险叠加系数</t>
  </si>
  <si>
    <t>mm</t>
  </si>
  <si>
    <t>㎡</t>
  </si>
  <si>
    <r>
      <rPr>
        <sz val="12"/>
        <color theme="1"/>
        <rFont val="等线"/>
        <charset val="134"/>
        <scheme val="minor"/>
      </rPr>
      <t>请根据实际情况键入三项指标
风险叠加系数说明：
三项指标均达到严重等级：系数1.5
任意两项指标达到严重等级：系数1.3
其他情况：系数1.0
严重等级标准：
开裂宽度 &gt; 1.0mm
空鼓面积 &gt; 0.04</t>
    </r>
    <r>
      <rPr>
        <sz val="12"/>
        <color theme="1"/>
        <rFont val="SimSun"/>
        <charset val="134"/>
      </rPr>
      <t>㎡</t>
    </r>
    <r>
      <rPr>
        <sz val="12"/>
        <color theme="1"/>
        <rFont val="等线"/>
        <charset val="134"/>
        <scheme val="minor"/>
      </rPr>
      <t xml:space="preserve">
剥落面积 &gt; 1.0</t>
    </r>
    <r>
      <rPr>
        <sz val="12"/>
        <color theme="1"/>
        <rFont val="SimSun"/>
        <charset val="134"/>
      </rPr>
      <t>㎡</t>
    </r>
  </si>
  <si>
    <t>房屋001风险评分表</t>
  </si>
  <si>
    <t>权重</t>
  </si>
  <si>
    <t>本档标准系数</t>
  </si>
  <si>
    <t>上档标准系数</t>
  </si>
  <si>
    <t>判断本档标准值</t>
  </si>
  <si>
    <t>判断上档标准值</t>
  </si>
  <si>
    <t>功效系数</t>
  </si>
  <si>
    <t>本档基础分</t>
  </si>
  <si>
    <t>调整分</t>
  </si>
  <si>
    <t>单项得分</t>
  </si>
  <si>
    <t>单项指数</t>
  </si>
  <si>
    <t xml:space="preserve">叠加前综合指数 </t>
  </si>
  <si>
    <t>最终综合指数</t>
  </si>
  <si>
    <t>综合风险等级</t>
  </si>
  <si>
    <t>0.2
优秀值</t>
  </si>
  <si>
    <t>0.4
良好值</t>
  </si>
  <si>
    <t>0.6
平均值</t>
  </si>
  <si>
    <t>0.8
较低值</t>
  </si>
  <si>
    <t>1.0
较差值</t>
  </si>
  <si>
    <t>说明：1.本档标准系数：根据实际值对比标准值确定档位（0-1）。
2.单项得分 = 本档基础分 + 调整分。
3.综合得分 = 各单项得分之和。
4.风险叠加机制：考虑多种病害同时存在时的风险放大效应
①系数1.5（三项严重）：
风险放大50%
依据：三种严重病害同时存在，结构安全性急剧下降
工程表现：可能需要紧急加固或部分拆除重建
②系数1.3（两项严重）：
风险放大30%
依据：两种严重病害组合，安全隐患显著增加
工程表现：需要立即专业处理，可能涉及较大范围修复
③系数1.0（其他情况）：
无显著风险叠加
依据：单一病害或轻度组合，风险相对可控
工程表现：可按常规维护计划处理
5.投保金额：根据风险等级映射，直接投保金额为修缮后投保的1.3倍（A级除外）。</t>
  </si>
  <si>
    <t>所有房屋的风险评价和投保金额</t>
  </si>
  <si>
    <t>风险状态</t>
  </si>
  <si>
    <t>重大风险</t>
  </si>
  <si>
    <t>大风险</t>
  </si>
  <si>
    <t>较大风险</t>
  </si>
  <si>
    <t>关注风险</t>
  </si>
  <si>
    <t>无风险</t>
  </si>
  <si>
    <t>指数区间</t>
  </si>
  <si>
    <t>指数&lt;0.4</t>
  </si>
  <si>
    <t>0.40≤指数&lt;0.50</t>
  </si>
  <si>
    <t>0.50≤指数&lt;0.7</t>
  </si>
  <si>
    <t>0.70≤指数&lt;0.85</t>
  </si>
  <si>
    <t>0.85≤指数≤1</t>
  </si>
  <si>
    <t>定级</t>
  </si>
  <si>
    <t>A</t>
  </si>
  <si>
    <t>B</t>
  </si>
  <si>
    <t>C</t>
  </si>
  <si>
    <t>D</t>
  </si>
  <si>
    <t>E</t>
  </si>
  <si>
    <t>直接投保</t>
  </si>
  <si>
    <t>修缮后投保</t>
  </si>
  <si>
    <t>基础费率</t>
  </si>
  <si>
    <t xml:space="preserve">面积系数表  </t>
  </si>
  <si>
    <t xml:space="preserve"> 保额系数表  </t>
  </si>
  <si>
    <t>风险等级</t>
  </si>
  <si>
    <t>级别</t>
  </si>
  <si>
    <t>修缮后投保基础费</t>
  </si>
  <si>
    <t>直接投保基础费</t>
  </si>
  <si>
    <t>面积范围(㎡)</t>
  </si>
  <si>
    <t xml:space="preserve">系数 </t>
  </si>
  <si>
    <t xml:space="preserve">保额(万元)  </t>
  </si>
  <si>
    <t>系数</t>
  </si>
  <si>
    <t xml:space="preserve">≤1000 </t>
  </si>
  <si>
    <t xml:space="preserve">&lt;50 </t>
  </si>
  <si>
    <t xml:space="preserve"> 1001-5000 </t>
  </si>
  <si>
    <t xml:space="preserve">50-100 </t>
  </si>
  <si>
    <t xml:space="preserve"> 5001-10000 </t>
  </si>
  <si>
    <t>100-200</t>
  </si>
  <si>
    <t xml:space="preserve">10001-20000 </t>
  </si>
  <si>
    <t>200-500</t>
  </si>
  <si>
    <t>&gt;20000</t>
  </si>
  <si>
    <t>500-800</t>
  </si>
  <si>
    <r>
      <rPr>
        <sz val="11"/>
        <color rgb="FFFF0000"/>
        <rFont val="等线"/>
        <charset val="134"/>
        <scheme val="minor"/>
      </rPr>
      <t>1. 基础保费</t>
    </r>
    <r>
      <rPr>
        <sz val="11"/>
        <color theme="1"/>
        <rFont val="等线"/>
        <charset val="134"/>
        <scheme val="minor"/>
      </rPr>
      <t xml:space="preserve">
修缮后投保：A：10000，B：8000，C：5000，D：3000，E：3000
直接投保系数：1.3
</t>
    </r>
    <r>
      <rPr>
        <sz val="11"/>
        <color rgb="FFFF0000"/>
        <rFont val="等线"/>
        <charset val="134"/>
        <scheme val="minor"/>
      </rPr>
      <t>3. 面积系数</t>
    </r>
    <r>
      <rPr>
        <sz val="11"/>
        <color theme="1"/>
        <rFont val="等线"/>
        <charset val="134"/>
        <scheme val="minor"/>
      </rPr>
      <t xml:space="preserve">
面积越大，风险分散效应越好，但管理成本增加
采用分段递增方式，体现规模效应
</t>
    </r>
    <r>
      <rPr>
        <sz val="11"/>
        <color rgb="FFFF0000"/>
        <rFont val="等线"/>
        <charset val="134"/>
        <scheme val="minor"/>
      </rPr>
      <t>4. 保额系数</t>
    </r>
    <r>
      <rPr>
        <sz val="11"/>
        <color theme="1"/>
        <rFont val="等线"/>
        <charset val="134"/>
        <scheme val="minor"/>
      </rPr>
      <t xml:space="preserve">
保额越高，保险公司承担风险越大
采用分段递增方式，与赔偿限额成正比
</t>
    </r>
    <r>
      <rPr>
        <sz val="11"/>
        <color rgb="FFFF0000"/>
        <rFont val="等线"/>
        <charset val="134"/>
        <scheme val="minor"/>
      </rPr>
      <t>定价公式</t>
    </r>
    <r>
      <rPr>
        <sz val="11"/>
        <color theme="1"/>
        <rFont val="等线"/>
        <charset val="134"/>
        <scheme val="minor"/>
      </rPr>
      <t xml:space="preserve">
最终保费 = 基础保费 × 面积系数 × 保额系数</t>
    </r>
  </si>
  <si>
    <t>房屋幕墙保险查询系统</t>
  </si>
  <si>
    <t>房屋破损程度
（综合风险等级）</t>
  </si>
  <si>
    <t>投保方式</t>
  </si>
  <si>
    <t>基础保费</t>
  </si>
  <si>
    <t>保险面积(㎡)</t>
  </si>
  <si>
    <t>面积系数</t>
  </si>
  <si>
    <t xml:space="preserve">保额(万元) </t>
  </si>
  <si>
    <t>保额系数</t>
  </si>
  <si>
    <t>最终保费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</si>
</sst>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#\ ?/?"/>
    <numFmt numFmtId="179" formatCode="0.0000"/>
    <numFmt numFmtId="180" formatCode="0_);[Red]\(0\)"/>
  </numFmts>
  <fonts count="5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rgb="FFFF0000"/>
      <name val="等线"/>
      <charset val="134"/>
      <scheme val="minor"/>
    </font>
    <font>
      <sz val="22"/>
      <color theme="1"/>
      <name val="等线"/>
      <charset val="134"/>
      <scheme val="minor"/>
    </font>
    <font>
      <b/>
      <u/>
      <sz val="12"/>
      <color rgb="FF800080"/>
      <name val="等线"/>
      <charset val="134"/>
      <scheme val="minor"/>
    </font>
    <font>
      <b/>
      <u/>
      <sz val="12"/>
      <color theme="10"/>
      <name val="等线"/>
      <charset val="134"/>
      <scheme val="minor"/>
    </font>
    <font>
      <b/>
      <u/>
      <sz val="11"/>
      <color theme="10"/>
      <name val="等线"/>
      <charset val="134"/>
      <scheme val="minor"/>
    </font>
    <font>
      <b/>
      <u/>
      <sz val="11"/>
      <color rgb="FF800080"/>
      <name val="等线"/>
      <charset val="134"/>
      <scheme val="minor"/>
    </font>
    <font>
      <sz val="14"/>
      <color theme="1"/>
      <name val="黑体"/>
      <charset val="134"/>
    </font>
    <font>
      <sz val="10"/>
      <color theme="1"/>
      <name val="等线"/>
      <charset val="134"/>
      <scheme val="minor"/>
    </font>
    <font>
      <sz val="12"/>
      <color theme="1"/>
      <name val="SimSun"/>
      <charset val="134"/>
    </font>
    <font>
      <sz val="12"/>
      <color theme="1"/>
      <name val="宋体"/>
      <charset val="134"/>
    </font>
    <font>
      <sz val="12"/>
      <color rgb="FF333333"/>
      <name val="等线"/>
      <charset val="134"/>
    </font>
    <font>
      <sz val="12"/>
      <color theme="1"/>
      <name val="等线"/>
      <charset val="134"/>
      <scheme val="minor"/>
    </font>
    <font>
      <sz val="11"/>
      <name val="等线"/>
      <charset val="134"/>
    </font>
    <font>
      <b/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u/>
      <sz val="18"/>
      <color theme="10"/>
      <name val="等线"/>
      <charset val="134"/>
      <scheme val="minor"/>
    </font>
    <font>
      <b/>
      <u/>
      <sz val="18"/>
      <color rgb="FF800080"/>
      <name val="等线"/>
      <charset val="134"/>
      <scheme val="minor"/>
    </font>
    <font>
      <sz val="11"/>
      <name val="Times New Roman"/>
      <charset val="134"/>
    </font>
    <font>
      <b/>
      <sz val="18"/>
      <color theme="1"/>
      <name val="宋体"/>
      <charset val="134"/>
    </font>
    <font>
      <b/>
      <sz val="18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sz val="14"/>
      <name val="Times New Roman"/>
      <charset val="134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4"/>
      <color theme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theme="1"/>
      <name val="等线"/>
      <charset val="134"/>
    </font>
    <font>
      <sz val="11"/>
      <color theme="1"/>
      <name val="等线"/>
      <charset val="134"/>
    </font>
    <font>
      <b/>
      <sz val="14"/>
      <color theme="1"/>
      <name val="宋体"/>
      <charset val="134"/>
    </font>
    <font>
      <b/>
      <sz val="14"/>
      <color theme="1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0" borderId="28" applyNumberFormat="0" applyAlignment="0" applyProtection="0">
      <alignment vertical="center"/>
    </xf>
    <xf numFmtId="0" fontId="40" fillId="11" borderId="29" applyNumberFormat="0" applyAlignment="0" applyProtection="0">
      <alignment vertical="center"/>
    </xf>
    <xf numFmtId="0" fontId="41" fillId="11" borderId="28" applyNumberFormat="0" applyAlignment="0" applyProtection="0">
      <alignment vertical="center"/>
    </xf>
    <xf numFmtId="0" fontId="42" fillId="12" borderId="30" applyNumberFormat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4" fillId="0" borderId="32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2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4" fillId="0" borderId="0" xfId="6" applyFont="1" applyAlignment="1" applyProtection="1">
      <protection locked="0"/>
    </xf>
    <xf numFmtId="0" fontId="5" fillId="0" borderId="0" xfId="6" applyFont="1" applyAlignment="1" applyProtection="1">
      <alignment horizontal="center"/>
      <protection locked="0"/>
    </xf>
    <xf numFmtId="0" fontId="6" fillId="0" borderId="0" xfId="6" applyFont="1" applyAlignment="1" applyProtection="1">
      <alignment horizontal="center"/>
      <protection locked="0"/>
    </xf>
    <xf numFmtId="0" fontId="0" fillId="0" borderId="0" xfId="50" applyAlignment="1">
      <alignment wrapText="1"/>
    </xf>
    <xf numFmtId="0" fontId="0" fillId="0" borderId="0" xfId="50"/>
    <xf numFmtId="0" fontId="0" fillId="0" borderId="0" xfId="50" applyAlignment="1">
      <alignment horizontal="center" vertical="center"/>
    </xf>
    <xf numFmtId="0" fontId="5" fillId="0" borderId="0" xfId="6" applyFont="1" applyAlignment="1" applyProtection="1">
      <protection locked="0"/>
    </xf>
    <xf numFmtId="0" fontId="7" fillId="0" borderId="0" xfId="6" applyFont="1" applyAlignment="1" applyProtection="1">
      <alignment horizontal="center"/>
      <protection locked="0"/>
    </xf>
    <xf numFmtId="0" fontId="8" fillId="4" borderId="1" xfId="50" applyFont="1" applyFill="1" applyBorder="1" applyAlignment="1">
      <alignment horizontal="center" vertical="center"/>
    </xf>
    <xf numFmtId="0" fontId="8" fillId="0" borderId="0" xfId="50" applyFont="1" applyAlignment="1">
      <alignment vertical="center"/>
    </xf>
    <xf numFmtId="0" fontId="0" fillId="0" borderId="0" xfId="50" applyProtection="1">
      <protection locked="0"/>
    </xf>
    <xf numFmtId="0" fontId="0" fillId="4" borderId="1" xfId="50" applyFill="1" applyBorder="1" applyAlignment="1">
      <alignment horizontal="center" wrapText="1"/>
    </xf>
    <xf numFmtId="0" fontId="0" fillId="4" borderId="1" xfId="50" applyFill="1" applyBorder="1" applyAlignment="1" applyProtection="1">
      <alignment wrapText="1"/>
      <protection locked="0"/>
    </xf>
    <xf numFmtId="0" fontId="0" fillId="0" borderId="0" xfId="50" applyAlignment="1" applyProtection="1">
      <alignment wrapText="1"/>
      <protection locked="0"/>
    </xf>
    <xf numFmtId="0" fontId="0" fillId="4" borderId="4" xfId="50" applyFill="1" applyBorder="1" applyAlignment="1">
      <alignment horizontal="center" vertical="center" wrapText="1"/>
    </xf>
    <xf numFmtId="0" fontId="0" fillId="4" borderId="5" xfId="50" applyFill="1" applyBorder="1" applyAlignment="1">
      <alignment horizontal="center" vertical="center" wrapText="1"/>
    </xf>
    <xf numFmtId="0" fontId="0" fillId="4" borderId="1" xfId="50" applyFill="1" applyBorder="1" applyAlignment="1">
      <alignment horizontal="center"/>
    </xf>
    <xf numFmtId="0" fontId="0" fillId="5" borderId="1" xfId="50" applyFill="1" applyBorder="1" applyProtection="1">
      <protection locked="0"/>
    </xf>
    <xf numFmtId="0" fontId="0" fillId="5" borderId="6" xfId="50" applyFill="1" applyBorder="1" applyAlignment="1" applyProtection="1">
      <alignment horizontal="center" vertical="center"/>
      <protection locked="0"/>
    </xf>
    <xf numFmtId="176" fontId="0" fillId="5" borderId="6" xfId="50" applyNumberFormat="1" applyFill="1" applyBorder="1" applyAlignment="1" applyProtection="1">
      <alignment horizontal="center" vertical="center"/>
      <protection locked="0"/>
    </xf>
    <xf numFmtId="0" fontId="0" fillId="5" borderId="1" xfId="50" applyFill="1" applyBorder="1" applyAlignment="1" applyProtection="1">
      <alignment horizontal="center" vertical="center"/>
      <protection locked="0"/>
    </xf>
    <xf numFmtId="0" fontId="0" fillId="5" borderId="1" xfId="50" applyFill="1" applyBorder="1" applyAlignment="1" applyProtection="1">
      <alignment horizontal="center" vertical="center" wrapText="1"/>
      <protection locked="0"/>
    </xf>
    <xf numFmtId="0" fontId="0" fillId="5" borderId="7" xfId="50" applyFill="1" applyBorder="1" applyAlignment="1" applyProtection="1">
      <alignment horizontal="center" vertical="center"/>
      <protection locked="0"/>
    </xf>
    <xf numFmtId="176" fontId="0" fillId="5" borderId="7" xfId="50" applyNumberFormat="1" applyFill="1" applyBorder="1" applyAlignment="1" applyProtection="1">
      <alignment horizontal="center" vertical="center"/>
      <protection locked="0"/>
    </xf>
    <xf numFmtId="0" fontId="0" fillId="5" borderId="8" xfId="50" applyFill="1" applyBorder="1" applyAlignment="1" applyProtection="1">
      <alignment horizontal="center" vertical="center"/>
      <protection locked="0"/>
    </xf>
    <xf numFmtId="176" fontId="0" fillId="5" borderId="8" xfId="50" applyNumberFormat="1" applyFill="1" applyBorder="1" applyAlignment="1" applyProtection="1">
      <alignment horizontal="center" vertical="center"/>
      <protection locked="0"/>
    </xf>
    <xf numFmtId="0" fontId="0" fillId="0" borderId="0" xfId="50" applyAlignment="1" applyProtection="1">
      <alignment horizontal="center" vertical="center"/>
      <protection locked="0"/>
    </xf>
    <xf numFmtId="0" fontId="9" fillId="0" borderId="0" xfId="50" applyFont="1" applyAlignment="1">
      <alignment horizontal="left" wrapText="1"/>
    </xf>
    <xf numFmtId="0" fontId="0" fillId="0" borderId="0" xfId="50" applyAlignment="1">
      <alignment horizontal="left" wrapText="1"/>
    </xf>
    <xf numFmtId="0" fontId="0" fillId="0" borderId="0" xfId="0" applyAlignment="1">
      <alignment horizontal="center" vertical="center"/>
    </xf>
    <xf numFmtId="0" fontId="5" fillId="0" borderId="0" xfId="6" applyNumberFormat="1" applyFont="1" applyAlignment="1" applyProtection="1">
      <alignment horizontal="center" vertical="center"/>
      <protection locked="0"/>
    </xf>
    <xf numFmtId="0" fontId="4" fillId="0" borderId="0" xfId="6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49" applyAlignment="1">
      <alignment horizontal="center" vertical="center"/>
    </xf>
    <xf numFmtId="0" fontId="6" fillId="0" borderId="0" xfId="6" applyFont="1" applyProtection="1">
      <alignment vertical="center"/>
      <protection locked="0"/>
    </xf>
    <xf numFmtId="0" fontId="7" fillId="0" borderId="0" xfId="6" applyFont="1" applyProtection="1">
      <alignment vertical="center"/>
      <protection locked="0"/>
    </xf>
    <xf numFmtId="0" fontId="15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0" fontId="0" fillId="5" borderId="1" xfId="0" applyNumberFormat="1" applyFill="1" applyBorder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18" fillId="0" borderId="0" xfId="6" applyFont="1" applyBorder="1" applyAlignment="1" applyProtection="1">
      <alignment vertical="center"/>
      <protection locked="0"/>
    </xf>
    <xf numFmtId="0" fontId="19" fillId="0" borderId="0" xfId="6" applyFont="1" applyBorder="1" applyAlignment="1" applyProtection="1">
      <alignment horizontal="center" vertical="center"/>
      <protection locked="0"/>
    </xf>
    <xf numFmtId="178" fontId="20" fillId="0" borderId="0" xfId="0" applyNumberFormat="1" applyFont="1">
      <alignment vertical="center"/>
    </xf>
    <xf numFmtId="0" fontId="21" fillId="6" borderId="4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24" fillId="6" borderId="1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0" fontId="26" fillId="4" borderId="12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177" fontId="25" fillId="7" borderId="14" xfId="0" applyNumberFormat="1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179" fontId="25" fillId="7" borderId="15" xfId="0" applyNumberFormat="1" applyFont="1" applyFill="1" applyBorder="1" applyAlignment="1">
      <alignment horizontal="center" vertical="center"/>
    </xf>
    <xf numFmtId="0" fontId="17" fillId="6" borderId="1" xfId="0" applyFont="1" applyFill="1" applyBorder="1">
      <alignment vertical="center"/>
    </xf>
    <xf numFmtId="178" fontId="27" fillId="8" borderId="1" xfId="0" applyNumberFormat="1" applyFont="1" applyFill="1" applyBorder="1" applyAlignment="1" applyProtection="1">
      <alignment horizontal="center" vertical="center"/>
      <protection locked="0"/>
    </xf>
    <xf numFmtId="177" fontId="25" fillId="7" borderId="1" xfId="0" applyNumberFormat="1" applyFont="1" applyFill="1" applyBorder="1" applyAlignment="1">
      <alignment horizontal="center" vertical="center"/>
    </xf>
    <xf numFmtId="179" fontId="25" fillId="7" borderId="13" xfId="0" applyNumberFormat="1" applyFont="1" applyFill="1" applyBorder="1" applyAlignment="1">
      <alignment horizontal="center" vertical="center"/>
    </xf>
    <xf numFmtId="177" fontId="25" fillId="7" borderId="16" xfId="0" applyNumberFormat="1" applyFont="1" applyFill="1" applyBorder="1" applyAlignment="1">
      <alignment horizontal="center" vertical="center"/>
    </xf>
    <xf numFmtId="180" fontId="25" fillId="8" borderId="15" xfId="0" applyNumberFormat="1" applyFont="1" applyFill="1" applyBorder="1" applyAlignment="1" applyProtection="1">
      <alignment horizontal="center" vertical="center"/>
      <protection locked="0"/>
    </xf>
    <xf numFmtId="0" fontId="17" fillId="7" borderId="1" xfId="0" applyFont="1" applyFill="1" applyBorder="1">
      <alignment vertical="center"/>
    </xf>
    <xf numFmtId="0" fontId="25" fillId="7" borderId="15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0" fontId="25" fillId="4" borderId="18" xfId="0" applyFont="1" applyFill="1" applyBorder="1" applyAlignment="1">
      <alignment horizontal="center" vertical="center"/>
    </xf>
    <xf numFmtId="0" fontId="25" fillId="4" borderId="19" xfId="0" applyFont="1" applyFill="1" applyBorder="1" applyAlignment="1">
      <alignment horizontal="center" vertical="center"/>
    </xf>
    <xf numFmtId="176" fontId="25" fillId="7" borderId="1" xfId="0" applyNumberFormat="1" applyFont="1" applyFill="1" applyBorder="1" applyAlignment="1">
      <alignment horizontal="center" vertical="center"/>
    </xf>
    <xf numFmtId="179" fontId="25" fillId="7" borderId="1" xfId="0" applyNumberFormat="1" applyFont="1" applyFill="1" applyBorder="1" applyAlignment="1">
      <alignment horizontal="center" vertical="center"/>
    </xf>
    <xf numFmtId="177" fontId="25" fillId="7" borderId="20" xfId="0" applyNumberFormat="1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17" fillId="0" borderId="0" xfId="0" applyNumberFormat="1" applyFont="1">
      <alignment vertical="center"/>
    </xf>
    <xf numFmtId="178" fontId="17" fillId="0" borderId="0" xfId="0" applyNumberFormat="1" applyFont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6" applyFont="1" applyFill="1" applyBorder="1" applyAlignment="1">
      <alignment horizontal="center" vertical="center"/>
    </xf>
    <xf numFmtId="0" fontId="31" fillId="0" borderId="0" xfId="6" applyAlignment="1">
      <alignment horizontal="center" vertical="center"/>
    </xf>
    <xf numFmtId="0" fontId="30" fillId="0" borderId="0" xfId="6" applyFont="1" applyFill="1" applyBorder="1">
      <alignment vertical="center"/>
    </xf>
    <xf numFmtId="0" fontId="0" fillId="4" borderId="2" xfId="0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3">
    <dxf>
      <font>
        <name val="Times New Roman"/>
        <scheme val="none"/>
        <strike val="0"/>
        <u val="none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List" dropLines="0" dx="31" fmlaLink="$L$6" fmlaRange="$J$5:$J$6" noThreeD="1" page="4" sel="2" val="0"/>
</file>

<file path=xl/ctrlProps/ctrlProp2.xml><?xml version="1.0" encoding="utf-8"?>
<formControlPr xmlns="http://schemas.microsoft.com/office/spreadsheetml/2009/9/main" objectType="List" dropLines="0" dx="31" fmlaLink="$G$33" fmlaRange="$E$11:$E$15" noThreeD="1" page="3" sel="5" val="0"/>
</file>

<file path=xl/ctrlProps/ctrlProp3.xml><?xml version="1.0" encoding="utf-8"?>
<formControlPr xmlns="http://schemas.microsoft.com/office/spreadsheetml/2009/9/main" objectType="List" dropLines="0" dx="31" fmlaLink="$I$33" fmlaRange="$G$11:$G$15" max="1" noThreeD="1" page="3" sel="5" val="1"/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hyperlink" Target="#&#36164;&#37329;&#39118;&#38505;&#35780;&#20215;&#32467;&#26524;!A1"/><Relationship Id="rId4" Type="http://schemas.openxmlformats.org/officeDocument/2006/relationships/hyperlink" Target="#&#35745;&#31639;&#36164;&#37329;&#39118;&#38505;&#35780;&#20998;!A1"/><Relationship Id="rId3" Type="http://schemas.openxmlformats.org/officeDocument/2006/relationships/hyperlink" Target="#'&#27979;&#31639;&#25351;&#26631;&#23454;&#38469;&#20540; '!A1"/><Relationship Id="rId2" Type="http://schemas.openxmlformats.org/officeDocument/2006/relationships/hyperlink" Target="#&#30830;&#23450;&#25351;&#26631;&#26435;&#37325;!A1"/><Relationship Id="rId1" Type="http://schemas.openxmlformats.org/officeDocument/2006/relationships/hyperlink" Target="#&#26500;&#24314;&#39118;&#38505;&#21028;&#26029;&#30697;&#38453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158750</xdr:colOff>
      <xdr:row>0</xdr:row>
      <xdr:rowOff>298450</xdr:rowOff>
    </xdr:from>
    <xdr:to>
      <xdr:col>6</xdr:col>
      <xdr:colOff>171450</xdr:colOff>
      <xdr:row>18</xdr:row>
      <xdr:rowOff>38100</xdr:rowOff>
    </xdr:to>
    <xdr:grpSp>
      <xdr:nvGrpSpPr>
        <xdr:cNvPr id="25" name="组合 24"/>
        <xdr:cNvGrpSpPr/>
      </xdr:nvGrpSpPr>
      <xdr:grpSpPr>
        <a:xfrm>
          <a:off x="2161540" y="298450"/>
          <a:ext cx="3277870" cy="3351530"/>
          <a:chOff x="6673850" y="317500"/>
          <a:chExt cx="3403600" cy="3340100"/>
        </a:xfrm>
      </xdr:grpSpPr>
      <xdr:grpSp>
        <xdr:nvGrpSpPr>
          <xdr:cNvPr id="8" name="组合 7"/>
          <xdr:cNvGrpSpPr/>
        </xdr:nvGrpSpPr>
        <xdr:grpSpPr>
          <a:xfrm>
            <a:off x="6673850" y="1295400"/>
            <a:ext cx="552450" cy="1416050"/>
            <a:chOff x="6819900" y="1123950"/>
            <a:chExt cx="552450" cy="1416050"/>
          </a:xfrm>
        </xdr:grpSpPr>
        <xdr:sp>
          <xdr:nvSpPr>
            <xdr:cNvPr id="2" name="矩形 1"/>
            <xdr:cNvSpPr/>
          </xdr:nvSpPr>
          <xdr:spPr>
            <a:xfrm>
              <a:off x="6819900" y="1123950"/>
              <a:ext cx="552450" cy="141605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zh-CN" altLang="en-US" sz="2400"/>
                <a:t> </a:t>
              </a:r>
              <a:endParaRPr lang="zh-CN" altLang="en-US" sz="2400"/>
            </a:p>
          </xdr:txBody>
        </xdr:sp>
        <xdr:sp>
          <xdr:nvSpPr>
            <xdr:cNvPr id="4" name="文本框 3"/>
            <xdr:cNvSpPr txBox="1"/>
          </xdr:nvSpPr>
          <xdr:spPr>
            <a:xfrm>
              <a:off x="6870700" y="1143000"/>
              <a:ext cx="457200" cy="13525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wordArtVertRtl" wrap="square" rtlCol="0" anchor="t"/>
            <a:lstStyle/>
            <a:p>
              <a:r>
                <a:rPr lang="zh-CN" altLang="en-US" sz="1800" baseline="0">
                  <a:latin typeface="黑体" panose="02010609060101010101" pitchFamily="49" charset="-122"/>
                  <a:ea typeface="黑体" panose="02010609060101010101" pitchFamily="49" charset="-122"/>
                </a:rPr>
                <a:t> </a:t>
              </a:r>
              <a:r>
                <a:rPr lang="zh-CN" altLang="en-US" sz="1800">
                  <a:solidFill>
                    <a:schemeClr val="bg1"/>
                  </a:solidFill>
                  <a:latin typeface="黑体" panose="02010609060101010101" pitchFamily="49" charset="-122"/>
                  <a:ea typeface="黑体" panose="02010609060101010101" pitchFamily="49" charset="-122"/>
                </a:rPr>
                <a:t>目录</a:t>
              </a:r>
              <a:endParaRPr lang="zh-CN" altLang="en-US" sz="18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endParaRPr>
            </a:p>
          </xdr:txBody>
        </xdr:sp>
      </xdr:grpSp>
      <xdr:sp>
        <xdr:nvSpPr>
          <xdr:cNvPr id="7" name="矩形 6">
            <a:hlinkClick xmlns:r="http://schemas.openxmlformats.org/officeDocument/2006/relationships" r:id="rId1"/>
          </xdr:cNvPr>
          <xdr:cNvSpPr/>
        </xdr:nvSpPr>
        <xdr:spPr>
          <a:xfrm>
            <a:off x="8166100" y="317500"/>
            <a:ext cx="1879600" cy="50800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构建风险判断矩阵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  <xdr:sp>
        <xdr:nvSpPr>
          <xdr:cNvPr id="11" name="矩形 10">
            <a:hlinkClick xmlns:r="http://schemas.openxmlformats.org/officeDocument/2006/relationships" r:id="rId2"/>
          </xdr:cNvPr>
          <xdr:cNvSpPr/>
        </xdr:nvSpPr>
        <xdr:spPr>
          <a:xfrm>
            <a:off x="8166100" y="1028700"/>
            <a:ext cx="1885950" cy="508000"/>
          </a:xfrm>
          <a:prstGeom prst="rect">
            <a:avLst/>
          </a:prstGeom>
          <a:solidFill>
            <a:schemeClr val="accent4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确定指标权重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  <xdr:sp>
        <xdr:nvSpPr>
          <xdr:cNvPr id="12" name="矩形 11">
            <a:hlinkClick xmlns:r="http://schemas.openxmlformats.org/officeDocument/2006/relationships" r:id="rId3"/>
          </xdr:cNvPr>
          <xdr:cNvSpPr/>
        </xdr:nvSpPr>
        <xdr:spPr>
          <a:xfrm>
            <a:off x="8166100" y="1746250"/>
            <a:ext cx="1892300" cy="508000"/>
          </a:xfrm>
          <a:prstGeom prst="rect">
            <a:avLst/>
          </a:prstGeom>
          <a:solidFill>
            <a:schemeClr val="accent5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测算指标实际值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  <xdr:sp>
        <xdr:nvSpPr>
          <xdr:cNvPr id="13" name="矩形 12">
            <a:hlinkClick xmlns:r="http://schemas.openxmlformats.org/officeDocument/2006/relationships" r:id="rId4"/>
          </xdr:cNvPr>
          <xdr:cNvSpPr/>
        </xdr:nvSpPr>
        <xdr:spPr>
          <a:xfrm>
            <a:off x="8166100" y="2438400"/>
            <a:ext cx="1905000" cy="508000"/>
          </a:xfrm>
          <a:prstGeom prst="rect">
            <a:avLst/>
          </a:prstGeom>
          <a:solidFill>
            <a:schemeClr val="accent6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计算外墙病害风险评分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  <xdr:sp>
        <xdr:nvSpPr>
          <xdr:cNvPr id="14" name="矩形 13">
            <a:hlinkClick xmlns:r="http://schemas.openxmlformats.org/officeDocument/2006/relationships" r:id="rId5"/>
          </xdr:cNvPr>
          <xdr:cNvSpPr/>
        </xdr:nvSpPr>
        <xdr:spPr>
          <a:xfrm>
            <a:off x="8166100" y="3149600"/>
            <a:ext cx="1911350" cy="508000"/>
          </a:xfrm>
          <a:prstGeom prst="rect">
            <a:avLst/>
          </a:prstGeom>
          <a:solidFill>
            <a:schemeClr val="accent2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外墙病害风险评价结果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  <xdr:cxnSp>
        <xdr:nvCxnSpPr>
          <xdr:cNvPr id="10" name="连接符: 肘形 9"/>
          <xdr:cNvCxnSpPr>
            <a:stCxn id="2" idx="3"/>
            <a:endCxn id="7" idx="1"/>
          </xdr:cNvCxnSpPr>
        </xdr:nvCxnSpPr>
        <xdr:spPr>
          <a:xfrm flipV="1">
            <a:off x="7226300" y="571500"/>
            <a:ext cx="939800" cy="1431925"/>
          </a:xfrm>
          <a:prstGeom prst="bentConnector3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>
        <xdr:nvCxnSpPr>
          <xdr:cNvPr id="18" name="连接符: 肘形 17"/>
          <xdr:cNvCxnSpPr>
            <a:stCxn id="2" idx="3"/>
            <a:endCxn id="11" idx="1"/>
          </xdr:cNvCxnSpPr>
        </xdr:nvCxnSpPr>
        <xdr:spPr>
          <a:xfrm flipV="1">
            <a:off x="7226300" y="1282700"/>
            <a:ext cx="939800" cy="720725"/>
          </a:xfrm>
          <a:prstGeom prst="bentConnector3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>
        <xdr:nvCxnSpPr>
          <xdr:cNvPr id="20" name="连接符: 肘形 19"/>
          <xdr:cNvCxnSpPr>
            <a:stCxn id="2" idx="3"/>
            <a:endCxn id="12" idx="1"/>
          </xdr:cNvCxnSpPr>
        </xdr:nvCxnSpPr>
        <xdr:spPr>
          <a:xfrm flipV="1">
            <a:off x="7226300" y="2000250"/>
            <a:ext cx="939800" cy="3175"/>
          </a:xfrm>
          <a:prstGeom prst="bentConnector3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>
        <xdr:nvCxnSpPr>
          <xdr:cNvPr id="22" name="连接符: 肘形 21"/>
          <xdr:cNvCxnSpPr>
            <a:stCxn id="2" idx="3"/>
            <a:endCxn id="13" idx="1"/>
          </xdr:cNvCxnSpPr>
        </xdr:nvCxnSpPr>
        <xdr:spPr>
          <a:xfrm>
            <a:off x="7226300" y="2003425"/>
            <a:ext cx="939800" cy="688975"/>
          </a:xfrm>
          <a:prstGeom prst="bentConnector3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>
        <xdr:nvCxnSpPr>
          <xdr:cNvPr id="24" name="连接符: 肘形 23"/>
          <xdr:cNvCxnSpPr>
            <a:stCxn id="2" idx="3"/>
            <a:endCxn id="14" idx="1"/>
          </xdr:cNvCxnSpPr>
        </xdr:nvCxnSpPr>
        <xdr:spPr>
          <a:xfrm>
            <a:off x="7226300" y="2003425"/>
            <a:ext cx="939800" cy="1400175"/>
          </a:xfrm>
          <a:prstGeom prst="bentConnector3">
            <a:avLst/>
          </a:prstGeom>
          <a:ln w="127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38100</xdr:rowOff>
        </xdr:from>
        <xdr:to>
          <xdr:col>5</xdr:col>
          <xdr:colOff>0</xdr:colOff>
          <xdr:row>33</xdr:row>
          <xdr:rowOff>1</xdr:rowOff>
        </xdr:to>
        <xdr:sp>
          <xdr:nvSpPr>
            <xdr:cNvPr id="2049" name="List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4298950" y="6224905"/>
              <a:ext cx="126746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32</xdr:row>
          <xdr:rowOff>25400</xdr:rowOff>
        </xdr:from>
        <xdr:to>
          <xdr:col>7</xdr:col>
          <xdr:colOff>0</xdr:colOff>
          <xdr:row>32</xdr:row>
          <xdr:rowOff>580572</xdr:rowOff>
        </xdr:to>
        <xdr:sp>
          <xdr:nvSpPr>
            <xdr:cNvPr id="2050" name="List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7949565" y="6212205"/>
              <a:ext cx="1485900" cy="5549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25400</xdr:colOff>
          <xdr:row>32</xdr:row>
          <xdr:rowOff>44450</xdr:rowOff>
        </xdr:from>
        <xdr:to>
          <xdr:col>9</xdr:col>
          <xdr:colOff>0</xdr:colOff>
          <xdr:row>32</xdr:row>
          <xdr:rowOff>546100</xdr:rowOff>
        </xdr:to>
        <xdr:sp>
          <xdr:nvSpPr>
            <xdr:cNvPr id="2051" name="List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0728325" y="6231255"/>
              <a:ext cx="1535430" cy="5016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5080</xdr:colOff>
      <xdr:row>36</xdr:row>
      <xdr:rowOff>96520</xdr:rowOff>
    </xdr:from>
    <xdr:to>
      <xdr:col>3</xdr:col>
      <xdr:colOff>382905</xdr:colOff>
      <xdr:row>48</xdr:row>
      <xdr:rowOff>129540</xdr:rowOff>
    </xdr:to>
    <xdr:pic>
      <xdr:nvPicPr>
        <xdr:cNvPr id="2" name="图片 1" descr="东莞房屋综合险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7515225"/>
          <a:ext cx="3409315" cy="2166620"/>
        </a:xfrm>
        <a:prstGeom prst="rect">
          <a:avLst/>
        </a:prstGeom>
      </xdr:spPr>
    </xdr:pic>
    <xdr:clientData/>
  </xdr:twoCellAnchor>
  <xdr:twoCellAnchor editAs="oneCell">
    <xdr:from>
      <xdr:col>3</xdr:col>
      <xdr:colOff>539750</xdr:colOff>
      <xdr:row>36</xdr:row>
      <xdr:rowOff>125730</xdr:rowOff>
    </xdr:from>
    <xdr:to>
      <xdr:col>5</xdr:col>
      <xdr:colOff>1922145</xdr:colOff>
      <xdr:row>48</xdr:row>
      <xdr:rowOff>71120</xdr:rowOff>
    </xdr:to>
    <xdr:pic>
      <xdr:nvPicPr>
        <xdr:cNvPr id="3" name="图片 2" descr="泉州外墙脱落险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71240" y="7544435"/>
          <a:ext cx="3917315" cy="20789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O2:O4" totalsRowShown="0">
  <autoFilter xmlns:etc="http://www.wps.cn/officeDocument/2017/etCustomData" ref="O2:O4" etc:filterBottomFollowUsedRange="0"/>
  <tableColumns count="1">
    <tableColumn id="1" name="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7"/>
  <sheetViews>
    <sheetView showGridLines="0" workbookViewId="0">
      <selection activeCell="O18" sqref="O18"/>
    </sheetView>
  </sheetViews>
  <sheetFormatPr defaultColWidth="9" defaultRowHeight="14" outlineLevelRow="6" outlineLevelCol="2"/>
  <cols>
    <col min="1" max="1" width="8.07964601769912" customWidth="1"/>
    <col min="2" max="2" width="19.8318584070796" customWidth="1"/>
    <col min="3" max="3" width="18.5044247787611" customWidth="1"/>
  </cols>
  <sheetData>
    <row r="1" ht="24.5" customHeight="1" spans="1:3">
      <c r="A1" s="117"/>
      <c r="B1" s="117"/>
    </row>
    <row r="2" ht="17.65" spans="1:3">
      <c r="A2" s="118"/>
      <c r="B2" s="118"/>
      <c r="C2" s="45"/>
    </row>
    <row r="3" ht="17.65" spans="1:3">
      <c r="A3" s="118"/>
      <c r="B3" s="119"/>
      <c r="C3" s="45"/>
    </row>
    <row r="4" ht="17.65" spans="1:3">
      <c r="A4" s="118"/>
      <c r="B4" s="119"/>
      <c r="C4" s="120"/>
    </row>
    <row r="5" ht="17.65" spans="1:3">
      <c r="A5" s="118"/>
      <c r="B5" s="119"/>
      <c r="C5" s="120"/>
    </row>
    <row r="6" ht="17.65" spans="1:3">
      <c r="A6" s="118"/>
      <c r="B6" s="119"/>
      <c r="C6" s="120"/>
    </row>
    <row r="7" ht="17.65" spans="1:3">
      <c r="A7" s="118"/>
      <c r="B7" s="121"/>
    </row>
  </sheetData>
  <sheetProtection algorithmName="SHA-512" hashValue="o/F7eA9ZESTnXkuew8wviHqXlIn1tQn6NLybJMuZdAd8OAGNyVp4eIMzjAM+OWc1wy/W57Xv5/QtADfSBxJh8g==" saltValue="MEw5L6NoJuqC4NpNT3kNfg==" spinCount="100000" sheet="1" selectLockedCells="1"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F13"/>
  <sheetViews>
    <sheetView zoomScale="130" zoomScaleNormal="130" workbookViewId="0">
      <selection activeCell="E10" sqref="E10"/>
    </sheetView>
  </sheetViews>
  <sheetFormatPr defaultColWidth="8.66371681415929" defaultRowHeight="14"/>
  <cols>
    <col min="1" max="1" width="22.5044247787611" style="73" customWidth="1"/>
    <col min="2" max="2" width="20.0796460176991" style="73" customWidth="1"/>
    <col min="3" max="3" width="22.7522123893805" style="73" customWidth="1"/>
    <col min="4" max="9" width="20.0796460176991" style="73" customWidth="1"/>
    <col min="10" max="11" width="11.7522123893805" style="73" customWidth="1"/>
    <col min="12" max="12" width="8.66371681415929" style="74"/>
    <col min="13" max="13" width="12.7522123893805" style="73" customWidth="1"/>
    <col min="14" max="16384" width="8.66371681415929" style="73"/>
  </cols>
  <sheetData>
    <row r="1" ht="36.5" customHeight="1" spans="1:32">
      <c r="A1" s="75" t="s">
        <v>0</v>
      </c>
      <c r="B1" s="76" t="s">
        <v>1</v>
      </c>
      <c r="C1" s="77"/>
      <c r="D1" s="77"/>
      <c r="E1" s="77"/>
      <c r="F1" s="77"/>
      <c r="G1" s="77"/>
      <c r="H1" s="77"/>
      <c r="I1" s="77"/>
      <c r="J1" s="74"/>
    </row>
    <row r="2" s="72" customFormat="1" ht="31" customHeight="1" spans="1:32">
      <c r="A2" s="78" t="s">
        <v>2</v>
      </c>
      <c r="B2" s="79"/>
      <c r="C2" s="79"/>
      <c r="D2" s="79"/>
      <c r="E2" s="79"/>
      <c r="F2" s="80"/>
      <c r="G2" s="81" t="s">
        <v>3</v>
      </c>
      <c r="H2" s="82"/>
      <c r="I2" s="83"/>
      <c r="J2" s="84"/>
      <c r="K2" s="84"/>
      <c r="L2" s="84"/>
      <c r="M2" s="74"/>
      <c r="O2" s="72" t="s">
        <v>4</v>
      </c>
      <c r="Q2" s="85" t="s">
        <v>5</v>
      </c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3" ht="31" customHeight="1" spans="1:32">
      <c r="A3" s="86" t="s">
        <v>6</v>
      </c>
      <c r="B3" s="87" t="s">
        <v>7</v>
      </c>
      <c r="C3" s="87" t="s">
        <v>8</v>
      </c>
      <c r="D3" s="87" t="s">
        <v>9</v>
      </c>
      <c r="E3" s="88" t="s">
        <v>10</v>
      </c>
      <c r="F3" s="89" t="s">
        <v>11</v>
      </c>
      <c r="G3" s="90" t="s">
        <v>12</v>
      </c>
      <c r="H3" s="91" t="s">
        <v>13</v>
      </c>
      <c r="I3" s="92">
        <f>(G4/F4+G5/F5+G6/F6)*1/3</f>
        <v>3.00552910973313</v>
      </c>
      <c r="L3" s="73"/>
      <c r="M3" s="74"/>
      <c r="O3" s="73">
        <v>3</v>
      </c>
      <c r="Q3" s="93" t="s">
        <v>14</v>
      </c>
      <c r="R3" s="93">
        <v>1</v>
      </c>
      <c r="S3" s="93">
        <v>2</v>
      </c>
      <c r="T3" s="93">
        <v>3</v>
      </c>
      <c r="U3" s="93">
        <v>4</v>
      </c>
      <c r="V3" s="93">
        <v>5</v>
      </c>
      <c r="W3" s="93">
        <v>6</v>
      </c>
      <c r="X3" s="93">
        <v>7</v>
      </c>
      <c r="Y3" s="93">
        <v>8</v>
      </c>
      <c r="Z3" s="93">
        <v>9</v>
      </c>
      <c r="AA3" s="93">
        <v>10</v>
      </c>
      <c r="AB3" s="93">
        <v>11</v>
      </c>
      <c r="AC3" s="93">
        <v>12</v>
      </c>
      <c r="AD3" s="93">
        <v>13</v>
      </c>
      <c r="AE3" s="93">
        <v>14</v>
      </c>
      <c r="AF3" s="93">
        <v>15</v>
      </c>
    </row>
    <row r="4" ht="31" customHeight="1" spans="1:32">
      <c r="A4" s="87" t="s">
        <v>7</v>
      </c>
      <c r="B4" s="94">
        <v>1</v>
      </c>
      <c r="C4" s="94">
        <v>0.5</v>
      </c>
      <c r="D4" s="94">
        <v>0.33</v>
      </c>
      <c r="E4" s="95">
        <f>(B4*C4*D4)^(1/3)</f>
        <v>0.548480655243262</v>
      </c>
      <c r="F4" s="96">
        <f>E4/E7</f>
        <v>0.162966618685712</v>
      </c>
      <c r="G4" s="97">
        <f>B4*F4+C4*F5+D4*F6</f>
        <v>0.489698668795164</v>
      </c>
      <c r="H4" s="91" t="s">
        <v>15</v>
      </c>
      <c r="I4" s="98">
        <v>3</v>
      </c>
      <c r="L4" s="73"/>
      <c r="M4" s="74"/>
      <c r="O4" s="73">
        <v>4</v>
      </c>
      <c r="Q4" s="93" t="s">
        <v>16</v>
      </c>
      <c r="R4" s="99">
        <v>0</v>
      </c>
      <c r="S4" s="99">
        <v>0</v>
      </c>
      <c r="T4" s="99">
        <v>0.52</v>
      </c>
      <c r="U4" s="99">
        <v>0.89</v>
      </c>
      <c r="V4" s="99">
        <v>1.12</v>
      </c>
      <c r="W4" s="99">
        <v>1.26</v>
      </c>
      <c r="X4" s="99">
        <v>1.36</v>
      </c>
      <c r="Y4" s="99">
        <v>1.41</v>
      </c>
      <c r="Z4" s="99">
        <v>1.46</v>
      </c>
      <c r="AA4" s="99">
        <v>0.49</v>
      </c>
      <c r="AB4" s="99">
        <v>0.52</v>
      </c>
      <c r="AC4" s="99">
        <v>1.54</v>
      </c>
      <c r="AD4" s="99">
        <v>1.56</v>
      </c>
      <c r="AE4" s="99">
        <v>1.58</v>
      </c>
      <c r="AF4" s="99">
        <v>1.59</v>
      </c>
    </row>
    <row r="5" ht="31" customHeight="1" spans="1:32">
      <c r="A5" s="87" t="s">
        <v>8</v>
      </c>
      <c r="B5" s="94">
        <v>2</v>
      </c>
      <c r="C5" s="94">
        <v>1</v>
      </c>
      <c r="D5" s="94">
        <v>0.5</v>
      </c>
      <c r="E5" s="95">
        <f>(B5*C5*D5)^(1/3)</f>
        <v>1</v>
      </c>
      <c r="F5" s="96">
        <f>E5/E7</f>
        <v>0.297123731033747</v>
      </c>
      <c r="G5" s="97">
        <f>B5*F4+C5*F5+D5*F6</f>
        <v>0.893011793545442</v>
      </c>
      <c r="H5" s="91" t="s">
        <v>17</v>
      </c>
      <c r="I5" s="92">
        <f>(I3-I4)/(I4-1)</f>
        <v>0.00276455486656313</v>
      </c>
      <c r="L5" s="73"/>
    </row>
    <row r="6" ht="31" customHeight="1" spans="1:32">
      <c r="A6" s="87" t="s">
        <v>9</v>
      </c>
      <c r="B6" s="94">
        <v>3</v>
      </c>
      <c r="C6" s="94">
        <v>2</v>
      </c>
      <c r="D6" s="94">
        <v>1</v>
      </c>
      <c r="E6" s="95">
        <f>(B6*C6*D6)^(1/3)</f>
        <v>1.81712059283214</v>
      </c>
      <c r="F6" s="96">
        <f>E6/E7</f>
        <v>0.53990965028054</v>
      </c>
      <c r="G6" s="97">
        <f>B6*F4+C6*F5+D6*F6</f>
        <v>1.62305696840517</v>
      </c>
      <c r="H6" s="91" t="s">
        <v>18</v>
      </c>
      <c r="I6" s="100">
        <f>IF(I4=3,0.52,0.89)</f>
        <v>0.52</v>
      </c>
      <c r="L6" s="73"/>
    </row>
    <row r="7" ht="31" customHeight="1" spans="1:32">
      <c r="A7" s="101" t="s">
        <v>19</v>
      </c>
      <c r="B7" s="102"/>
      <c r="C7" s="102"/>
      <c r="D7" s="103"/>
      <c r="E7" s="104">
        <f>E4+E5+E6</f>
        <v>3.3656012480754</v>
      </c>
      <c r="F7" s="105">
        <f>SUM(F4:F6)</f>
        <v>1</v>
      </c>
      <c r="G7" s="106"/>
      <c r="H7" s="91" t="s">
        <v>20</v>
      </c>
      <c r="I7" s="92">
        <f>I5/I6</f>
        <v>0.00531645166646756</v>
      </c>
      <c r="L7" s="73"/>
    </row>
    <row r="8" ht="31" customHeight="1" spans="1:32">
      <c r="A8" s="107"/>
      <c r="B8" s="108"/>
      <c r="C8" s="108"/>
      <c r="D8" s="109"/>
      <c r="E8" s="104"/>
      <c r="F8" s="105"/>
      <c r="G8" s="110" t="str">
        <f>IF(I7&lt;=0.1,"一致性检验结果：一致性可行","一致性检验结果：重新打分！")</f>
        <v>一致性检验结果：一致性可行</v>
      </c>
      <c r="H8" s="110"/>
      <c r="I8" s="111"/>
      <c r="J8" s="112"/>
      <c r="K8" s="112"/>
    </row>
    <row r="9" ht="15.5" customHeight="1" spans="1:32">
      <c r="C9" s="77"/>
      <c r="D9" s="77"/>
      <c r="E9" s="77"/>
      <c r="F9" s="77"/>
      <c r="G9" s="77"/>
      <c r="H9" s="77"/>
      <c r="I9" s="77"/>
      <c r="J9" s="74"/>
    </row>
    <row r="10" ht="15.5" customHeight="1" spans="1:32">
      <c r="A10" s="113" t="s">
        <v>21</v>
      </c>
      <c r="B10" s="114"/>
      <c r="C10" s="114"/>
      <c r="D10" s="114"/>
      <c r="E10" s="77"/>
      <c r="F10" s="77"/>
      <c r="G10" s="77"/>
      <c r="H10" s="77"/>
      <c r="I10" s="77"/>
      <c r="J10" s="74"/>
    </row>
    <row r="11" ht="15.5" customHeight="1" spans="1:32">
      <c r="A11" s="114"/>
      <c r="B11" s="114"/>
      <c r="C11" s="114"/>
      <c r="D11" s="114"/>
    </row>
    <row r="12" spans="1:32">
      <c r="A12" s="114"/>
      <c r="B12" s="114"/>
      <c r="C12" s="114"/>
      <c r="D12" s="114"/>
      <c r="E12" s="115"/>
      <c r="F12" s="116"/>
      <c r="G12" s="116"/>
      <c r="H12" s="115"/>
      <c r="I12" s="115"/>
      <c r="Q12" s="112"/>
    </row>
    <row r="13" spans="1:32">
      <c r="A13" s="114"/>
      <c r="B13" s="114"/>
      <c r="C13" s="114"/>
      <c r="D13" s="114"/>
    </row>
  </sheetData>
  <sheetProtection selectLockedCells="1"/>
  <mergeCells count="8">
    <mergeCell ref="A2:E2"/>
    <mergeCell ref="G2:I2"/>
    <mergeCell ref="Q2:AF2"/>
    <mergeCell ref="G8:I8"/>
    <mergeCell ref="E7:E8"/>
    <mergeCell ref="F7:F8"/>
    <mergeCell ref="A10:D13"/>
    <mergeCell ref="A7:D8"/>
  </mergeCells>
  <conditionalFormatting sqref="F7">
    <cfRule type="cellIs" dxfId="1" priority="11" operator="equal">
      <formula>"重新打分"</formula>
    </cfRule>
    <cfRule type="cellIs" dxfId="2" priority="12" operator="equal">
      <formula>"一致性可行"</formula>
    </cfRule>
  </conditionalFormatting>
  <conditionalFormatting sqref="F7 G8">
    <cfRule type="cellIs" dxfId="1" priority="9" operator="equal">
      <formula>"一致性检验结果：重新打分！"</formula>
    </cfRule>
    <cfRule type="cellIs" dxfId="2" priority="10" operator="equal">
      <formula>"一致性检验结果：一致性可行"</formula>
    </cfRule>
  </conditionalFormatting>
  <dataValidations count="1">
    <dataValidation type="list" allowBlank="1" showInputMessage="1" showErrorMessage="1" sqref="I4">
      <formula1>$O$3:$O$4</formula1>
    </dataValidation>
  </dataValidations>
  <hyperlinks>
    <hyperlink ref="A1" location="目录!A1" display="返回主目录"/>
    <hyperlink ref="B1" location="确定指标权重!A1" display="下一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7"/>
  <sheetViews>
    <sheetView zoomScale="216" zoomScaleNormal="216" workbookViewId="0">
      <selection activeCell="B1" sqref="B1"/>
    </sheetView>
  </sheetViews>
  <sheetFormatPr defaultColWidth="9" defaultRowHeight="14" outlineLevelRow="6" outlineLevelCol="4"/>
  <cols>
    <col min="1" max="1" width="11.1681415929204" customWidth="1"/>
    <col min="2" max="2" width="10.4159292035398" customWidth="1"/>
    <col min="3" max="3" width="15.1946902654867" customWidth="1"/>
    <col min="4" max="4" width="11.9203539823009" customWidth="1"/>
    <col min="5" max="5" width="12.6637168141593" customWidth="1"/>
  </cols>
  <sheetData>
    <row r="1" spans="1:5">
      <c r="A1" s="66" t="s">
        <v>0</v>
      </c>
      <c r="B1" s="67" t="s">
        <v>22</v>
      </c>
      <c r="C1" s="67" t="s">
        <v>1</v>
      </c>
    </row>
    <row r="2" spans="1:5">
      <c r="A2" s="68" t="s">
        <v>23</v>
      </c>
      <c r="B2" s="68"/>
      <c r="C2" s="68"/>
      <c r="D2" s="68"/>
      <c r="E2" s="68"/>
    </row>
    <row r="3" spans="1:5">
      <c r="A3" s="50" t="s">
        <v>24</v>
      </c>
      <c r="B3" s="69" t="s">
        <v>25</v>
      </c>
      <c r="C3" s="50" t="s">
        <v>26</v>
      </c>
      <c r="D3" s="69" t="s">
        <v>27</v>
      </c>
      <c r="E3" s="69" t="s">
        <v>28</v>
      </c>
    </row>
    <row r="4" spans="1:5">
      <c r="A4" s="70" t="s">
        <v>7</v>
      </c>
      <c r="B4" s="71">
        <f>构建风险判断矩阵!F4</f>
        <v>0.162966618685712</v>
      </c>
      <c r="C4" s="70" t="s">
        <v>7</v>
      </c>
      <c r="D4" s="71">
        <f>100%</f>
        <v>1</v>
      </c>
      <c r="E4" s="71">
        <f>B4*D4</f>
        <v>0.162966618685712</v>
      </c>
    </row>
    <row r="5" spans="1:5">
      <c r="A5" s="70" t="s">
        <v>8</v>
      </c>
      <c r="B5" s="71">
        <f>构建风险判断矩阵!F5</f>
        <v>0.297123731033747</v>
      </c>
      <c r="C5" s="70" t="s">
        <v>8</v>
      </c>
      <c r="D5" s="71">
        <f>100%</f>
        <v>1</v>
      </c>
      <c r="E5" s="71">
        <f>B5*D5</f>
        <v>0.297123731033747</v>
      </c>
    </row>
    <row r="6" spans="1:5">
      <c r="A6" s="70" t="s">
        <v>9</v>
      </c>
      <c r="B6" s="71">
        <f>构建风险判断矩阵!F6</f>
        <v>0.53990965028054</v>
      </c>
      <c r="C6" s="70" t="s">
        <v>9</v>
      </c>
      <c r="D6" s="71">
        <f>100%</f>
        <v>1</v>
      </c>
      <c r="E6" s="71">
        <f>B6*D6</f>
        <v>0.53990965028054</v>
      </c>
    </row>
    <row r="7" spans="1:5">
      <c r="A7" s="50" t="s">
        <v>29</v>
      </c>
      <c r="B7" s="50"/>
      <c r="C7" s="50"/>
      <c r="D7" s="50"/>
      <c r="E7" s="71">
        <f>SUM(E4:E6)</f>
        <v>1</v>
      </c>
    </row>
  </sheetData>
  <sheetProtection selectLockedCells="1"/>
  <mergeCells count="2">
    <mergeCell ref="A2:E2"/>
    <mergeCell ref="A7:D7"/>
  </mergeCells>
  <hyperlinks>
    <hyperlink ref="A1" location="目录!A1" display="返回主目录"/>
    <hyperlink ref="B1" location="构建风险判断矩阵!A1" display="上一步"/>
    <hyperlink ref="C1" location="'测算指标实际值 '!A1" display="下一步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18"/>
  <sheetViews>
    <sheetView zoomScale="138" zoomScaleNormal="138" topLeftCell="A3" workbookViewId="0">
      <selection activeCell="D5" sqref="D5:D7"/>
    </sheetView>
  </sheetViews>
  <sheetFormatPr defaultColWidth="8.66371681415929" defaultRowHeight="14"/>
  <cols>
    <col min="1" max="1" width="14.5840707964602" style="45" customWidth="1"/>
    <col min="2" max="3" width="11.4159292035398" style="45" customWidth="1"/>
    <col min="4" max="4" width="11.9203539823009" style="45" customWidth="1"/>
    <col min="5" max="12" width="11.4159292035398" style="45" customWidth="1"/>
    <col min="13" max="13" width="20.8318584070796" customWidth="1"/>
    <col min="14" max="16" width="13" customWidth="1"/>
  </cols>
  <sheetData>
    <row r="1" ht="30" customHeight="1" spans="1:17">
      <c r="A1" s="46" t="s">
        <v>0</v>
      </c>
      <c r="B1" s="47" t="s">
        <v>22</v>
      </c>
      <c r="C1" s="47" t="s">
        <v>1</v>
      </c>
    </row>
    <row r="2" ht="29" customHeight="1" spans="1:17">
      <c r="A2" s="48" t="s">
        <v>30</v>
      </c>
      <c r="B2" s="48"/>
      <c r="C2" s="48"/>
      <c r="D2" s="48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5"/>
    </row>
    <row r="3" ht="28.5" customHeight="1" spans="1:17">
      <c r="A3" s="50" t="s">
        <v>31</v>
      </c>
      <c r="B3" s="122" t="s">
        <v>32</v>
      </c>
      <c r="C3" s="52"/>
      <c r="D3" s="53"/>
    </row>
    <row r="4" spans="1:17">
      <c r="A4" s="50" t="s">
        <v>33</v>
      </c>
      <c r="B4" s="54" t="s">
        <v>34</v>
      </c>
      <c r="C4" s="55" t="s">
        <v>35</v>
      </c>
      <c r="D4" s="55" t="s">
        <v>36</v>
      </c>
    </row>
    <row r="5" spans="1:17">
      <c r="A5" s="50" t="s">
        <v>7</v>
      </c>
      <c r="B5" s="54">
        <v>1.2</v>
      </c>
      <c r="C5" s="55" t="s">
        <v>37</v>
      </c>
      <c r="D5" s="56">
        <f>IF(AND(B5&gt;1,B5&gt;0.04,B7&gt;1),1.5,IF(OR(AND(B5&gt;1,B6&gt;0.04),AND(B5&gt;1,B7&gt;1),AND(B6&gt;0.04,B7&gt;1)),1.3,1))</f>
        <v>1.3</v>
      </c>
    </row>
    <row r="6" ht="15.3" spans="1:17">
      <c r="A6" s="50" t="s">
        <v>8</v>
      </c>
      <c r="B6" s="54">
        <v>3</v>
      </c>
      <c r="C6" s="57" t="s">
        <v>38</v>
      </c>
      <c r="D6" s="58"/>
    </row>
    <row r="7" ht="15.3" spans="1:17">
      <c r="A7" s="50" t="s">
        <v>9</v>
      </c>
      <c r="B7" s="54">
        <v>0</v>
      </c>
      <c r="C7" s="57" t="s">
        <v>38</v>
      </c>
      <c r="D7" s="59"/>
      <c r="G7" s="60"/>
      <c r="H7" s="60"/>
      <c r="K7" s="60"/>
      <c r="L7" s="60"/>
    </row>
    <row r="8" ht="15" spans="1:17">
      <c r="C8" s="61"/>
      <c r="D8" s="61"/>
      <c r="G8" s="61"/>
      <c r="H8" s="61"/>
      <c r="K8" s="61"/>
      <c r="L8" s="61"/>
    </row>
    <row r="9" ht="15" spans="1:17">
      <c r="A9" s="62" t="s">
        <v>39</v>
      </c>
      <c r="B9" s="63"/>
      <c r="C9" s="63"/>
      <c r="D9" s="63"/>
      <c r="E9" s="63"/>
      <c r="F9" s="63"/>
      <c r="G9" s="63"/>
      <c r="H9" s="63"/>
      <c r="K9" s="61"/>
      <c r="L9" s="61"/>
    </row>
    <row r="10" ht="144" customHeight="1" spans="1:17">
      <c r="A10" s="63"/>
      <c r="B10" s="63"/>
      <c r="C10" s="63"/>
      <c r="D10" s="63"/>
      <c r="E10" s="63"/>
      <c r="F10" s="63"/>
      <c r="G10" s="63"/>
      <c r="H10" s="63"/>
      <c r="K10" s="61"/>
      <c r="L10" s="61"/>
    </row>
    <row r="11" spans="1:17">
      <c r="C11" s="64"/>
      <c r="D11" s="64"/>
      <c r="G11" s="64"/>
      <c r="H11" s="64"/>
      <c r="K11" s="64"/>
      <c r="L11" s="64"/>
    </row>
    <row r="12" spans="1:17">
      <c r="C12" s="65"/>
      <c r="D12" s="65"/>
      <c r="G12" s="65"/>
      <c r="H12" s="65"/>
      <c r="K12" s="65"/>
      <c r="L12" s="65"/>
    </row>
    <row r="13" spans="1:17">
      <c r="C13" s="65"/>
      <c r="D13" s="65"/>
      <c r="G13" s="65"/>
      <c r="H13" s="65"/>
      <c r="K13" s="65"/>
      <c r="L13" s="65"/>
    </row>
    <row r="14" spans="1:17">
      <c r="C14" s="65"/>
      <c r="D14" s="65"/>
      <c r="G14" s="65"/>
      <c r="H14" s="65"/>
      <c r="K14" s="65"/>
      <c r="L14" s="65"/>
    </row>
    <row r="15" spans="1:17">
      <c r="C15" s="65"/>
      <c r="D15" s="65"/>
      <c r="G15" s="65"/>
      <c r="H15" s="65"/>
      <c r="K15" s="65"/>
      <c r="L15" s="65"/>
    </row>
    <row r="16" spans="1:17">
      <c r="C16" s="65"/>
      <c r="D16" s="65"/>
      <c r="G16" s="65"/>
      <c r="H16" s="65"/>
      <c r="K16" s="65"/>
      <c r="L16" s="65"/>
    </row>
    <row r="17" spans="3:12">
      <c r="C17" s="65"/>
      <c r="D17" s="65"/>
      <c r="G17" s="65"/>
      <c r="H17" s="65"/>
      <c r="K17" s="65"/>
      <c r="L17" s="65"/>
    </row>
    <row r="18" spans="3:12">
      <c r="C18" s="65"/>
      <c r="D18" s="65"/>
      <c r="G18" s="65"/>
      <c r="H18" s="65"/>
      <c r="K18" s="65"/>
      <c r="L18" s="65"/>
    </row>
  </sheetData>
  <sheetProtection selectLockedCells="1"/>
  <mergeCells count="4">
    <mergeCell ref="A2:P2"/>
    <mergeCell ref="B3:D3"/>
    <mergeCell ref="D5:D7"/>
    <mergeCell ref="A9:H10"/>
  </mergeCells>
  <hyperlinks>
    <hyperlink ref="A1" location="目录!A1" display="返回主目录"/>
    <hyperlink ref="B1" location="确定指标权重!A1" display="上一步"/>
    <hyperlink ref="C1" location="计算资金风险评分!A1" display="下一步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51"/>
  <sheetViews>
    <sheetView zoomScale="169" zoomScaleNormal="169" topLeftCell="L1" workbookViewId="0">
      <selection activeCell="Q4" sqref="Q4:Q6"/>
    </sheetView>
  </sheetViews>
  <sheetFormatPr defaultColWidth="8.66371681415929" defaultRowHeight="14"/>
  <cols>
    <col min="1" max="1" width="11.2477876106195" style="20" customWidth="1"/>
    <col min="2" max="2" width="20.4159292035398" style="20" customWidth="1"/>
    <col min="3" max="8" width="8.58407079646018" style="20" customWidth="1"/>
    <col min="9" max="9" width="8.66371681415929" style="20"/>
    <col min="10" max="10" width="9.75221238938053" style="20" customWidth="1"/>
    <col min="11" max="12" width="12.6637168141593" style="20"/>
    <col min="13" max="13" width="8.66371681415929" style="20"/>
    <col min="14" max="14" width="12.6637168141593" style="20"/>
    <col min="15" max="15" width="8.66371681415929" style="20"/>
    <col min="16" max="16" width="12.8230088495575" style="20"/>
    <col min="17" max="18" width="9.24778761061947" style="20" customWidth="1"/>
    <col min="19" max="19" width="4.24778761061947" style="20" customWidth="1"/>
    <col min="20" max="24" width="9.83185840707965" style="21" customWidth="1"/>
    <col min="25" max="16384" width="8.66371681415929" style="20"/>
  </cols>
  <sheetData>
    <row r="1" ht="23.5" customHeight="1" spans="1:24">
      <c r="A1" s="22" t="s">
        <v>0</v>
      </c>
      <c r="B1" s="23" t="s">
        <v>22</v>
      </c>
      <c r="C1" s="18" t="s">
        <v>1</v>
      </c>
    </row>
    <row r="2" ht="18.4" spans="1:24">
      <c r="A2" s="24" t="s">
        <v>40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  <c r="S2" s="26"/>
    </row>
    <row r="3" s="19" customFormat="1" ht="39" customHeight="1" spans="1:24">
      <c r="A3" s="27" t="s">
        <v>33</v>
      </c>
      <c r="B3" s="27"/>
      <c r="C3" s="28" t="s">
        <v>41</v>
      </c>
      <c r="D3" s="28" t="s">
        <v>34</v>
      </c>
      <c r="E3" s="28" t="s">
        <v>42</v>
      </c>
      <c r="F3" s="28" t="s">
        <v>43</v>
      </c>
      <c r="G3" s="28" t="s">
        <v>44</v>
      </c>
      <c r="H3" s="28" t="s">
        <v>45</v>
      </c>
      <c r="I3" s="28" t="s">
        <v>46</v>
      </c>
      <c r="J3" s="28" t="s">
        <v>47</v>
      </c>
      <c r="K3" s="28" t="s">
        <v>48</v>
      </c>
      <c r="L3" s="28" t="s">
        <v>49</v>
      </c>
      <c r="M3" s="28" t="s">
        <v>50</v>
      </c>
      <c r="N3" s="28" t="s">
        <v>51</v>
      </c>
      <c r="O3" s="28" t="s">
        <v>36</v>
      </c>
      <c r="P3" s="28" t="s">
        <v>52</v>
      </c>
      <c r="Q3" s="28" t="s">
        <v>53</v>
      </c>
      <c r="R3" s="29"/>
      <c r="S3" s="29"/>
      <c r="T3" s="30" t="s">
        <v>54</v>
      </c>
      <c r="U3" s="31" t="s">
        <v>55</v>
      </c>
      <c r="V3" s="31" t="s">
        <v>56</v>
      </c>
      <c r="W3" s="31" t="s">
        <v>57</v>
      </c>
      <c r="X3" s="31" t="s">
        <v>58</v>
      </c>
    </row>
    <row r="4" spans="1:24">
      <c r="A4" s="32" t="s">
        <v>7</v>
      </c>
      <c r="B4" s="32"/>
      <c r="C4" s="33">
        <f>确定指标权重!E4*100</f>
        <v>16.2966618685712</v>
      </c>
      <c r="D4" s="33">
        <f>'测算指标实际值 '!B5</f>
        <v>1.2</v>
      </c>
      <c r="E4" s="33">
        <f>IF(D4&lt;$T4,0,IF(D4&lt;$U4,0.2,IF(D4&lt;$V4,0.4,IF(D4&lt;$W4,0.6,IF(D4&lt;$X4,0.8,1)))))</f>
        <v>1</v>
      </c>
      <c r="F4" s="33" t="str">
        <f>IF(E4=1,"--",E4+0.2)</f>
        <v>--</v>
      </c>
      <c r="G4" s="33">
        <f>IF(D4&lt;$T4,"--",IF(D4&lt;$U4,$T4,IF(D4&lt;$V4,$U4,IF(D4&lt;$W4,$V4,IF(D4&lt;$X4,$W4,IF(D4&gt;$X4,$X4))))))</f>
        <v>1</v>
      </c>
      <c r="H4" s="33" t="str">
        <f>IF(D4&lt;$T4,$T4,IF(D4&lt;$U4,$U4,IF(D4&lt;$V4,$V4,IF(D4&lt;$W4,$W4,IF(D4&lt;$X4,$X4,IF(D4&gt;$X4,"--"))))))</f>
        <v>--</v>
      </c>
      <c r="I4" s="33">
        <f>IF(E4=0,0,IF(E4=1,1,($D4-$G4)/($H4-$G4)))</f>
        <v>1</v>
      </c>
      <c r="J4" s="33">
        <f>C4*E4</f>
        <v>16.2966618685712</v>
      </c>
      <c r="K4" s="33">
        <f>IF(I4=1,0,I4*C4*0.2)</f>
        <v>0</v>
      </c>
      <c r="L4" s="33">
        <f>J4+K4</f>
        <v>16.2966618685712</v>
      </c>
      <c r="M4" s="33">
        <f>L4/C4</f>
        <v>1</v>
      </c>
      <c r="N4" s="34">
        <f>SUM(L4:L6)/100</f>
        <v>0.460090349719459</v>
      </c>
      <c r="O4" s="34">
        <f>'测算指标实际值 '!D5</f>
        <v>1.3</v>
      </c>
      <c r="P4" s="35">
        <f>N4*O4</f>
        <v>0.598117454635297</v>
      </c>
      <c r="Q4" s="36" t="str">
        <f>IF(P4&lt;0.4,"无风险",IF(P4&lt;0.5,"关注风险",IF(P4&lt;0.7,"较大风险",IF(P4&lt;0.85,"高风险","重大风险"))))</f>
        <v>较大风险</v>
      </c>
      <c r="R4" s="26"/>
      <c r="S4" s="26"/>
      <c r="T4" s="37">
        <v>0.2</v>
      </c>
      <c r="U4" s="37">
        <v>0.4</v>
      </c>
      <c r="V4" s="37">
        <v>0.6</v>
      </c>
      <c r="W4" s="37">
        <v>0.8</v>
      </c>
      <c r="X4" s="37">
        <v>1</v>
      </c>
    </row>
    <row r="5" spans="1:24">
      <c r="A5" s="32" t="s">
        <v>8</v>
      </c>
      <c r="B5" s="32"/>
      <c r="C5" s="33">
        <f>确定指标权重!E5*100</f>
        <v>29.7123731033747</v>
      </c>
      <c r="D5" s="33">
        <f>'测算指标实际值 '!B6</f>
        <v>3</v>
      </c>
      <c r="E5" s="33">
        <f>IF(D5&lt;$T5,0,IF(D5&lt;$U5,0.2,IF(D5&lt;$V5,0.4,IF(D5&lt;$W5,0.6,IF(D5&lt;$X5,0.8,1)))))</f>
        <v>1</v>
      </c>
      <c r="F5" s="33" t="str">
        <f>IF(E5=1,"--",E5+0.2)</f>
        <v>--</v>
      </c>
      <c r="G5" s="33">
        <f>IF(D5&lt;$T5,"--",IF(D5&lt;$U5,$T5,IF(D5&lt;$V5,$U5,IF(D5&lt;$W5,$V5,IF(D5&lt;$X5,$W5,IF(D5&gt;$X5,$X5))))))</f>
        <v>0.04</v>
      </c>
      <c r="H5" s="33" t="str">
        <f>IF(D5&lt;$T5,$T5,IF(D5&lt;$U5,$U5,IF(D5&lt;$V5,$V5,IF(D5&lt;$W5,$W5,IF(D5&lt;$X5,$X5,IF(D5&gt;$X5,"--"))))))</f>
        <v>--</v>
      </c>
      <c r="I5" s="33">
        <f>IF(E5=0,0,IF(E5=1,1,($D5-$G5)/($H5-$G5)))</f>
        <v>1</v>
      </c>
      <c r="J5" s="33">
        <f>C5*E5</f>
        <v>29.7123731033747</v>
      </c>
      <c r="K5" s="33">
        <f>IF(I5=1,0,I5*C5*0.2)</f>
        <v>0</v>
      </c>
      <c r="L5" s="33">
        <f>J5+K5</f>
        <v>29.7123731033747</v>
      </c>
      <c r="M5" s="33">
        <f>L5/C5</f>
        <v>1</v>
      </c>
      <c r="N5" s="38"/>
      <c r="O5" s="38"/>
      <c r="P5" s="39"/>
      <c r="Q5" s="36"/>
      <c r="R5" s="26"/>
      <c r="S5" s="26"/>
      <c r="T5" s="36">
        <v>0</v>
      </c>
      <c r="U5" s="36">
        <v>0.01</v>
      </c>
      <c r="V5" s="36">
        <v>0.02</v>
      </c>
      <c r="W5" s="36">
        <v>0.03</v>
      </c>
      <c r="X5" s="36">
        <v>0.04</v>
      </c>
    </row>
    <row r="6" spans="1:24">
      <c r="A6" s="32" t="s">
        <v>9</v>
      </c>
      <c r="B6" s="32"/>
      <c r="C6" s="33">
        <f>确定指标权重!E6*100</f>
        <v>53.990965028054</v>
      </c>
      <c r="D6" s="33">
        <f>'测算指标实际值 '!B7</f>
        <v>0</v>
      </c>
      <c r="E6" s="33">
        <f>IF(D6&lt;$T6,0,IF(D6&lt;$U6,0.2,IF(D6&lt;$V6,0.4,IF(D6&lt;$W6,0.6,IF(D6&lt;$X6,0.8,1)))))</f>
        <v>0</v>
      </c>
      <c r="F6" s="33">
        <f>IF(E6=1,"--",E6+0.2)</f>
        <v>0.2</v>
      </c>
      <c r="G6" s="33" t="str">
        <f>IF(D6&lt;$T6,"--",IF(D6&lt;$U6,$T6,IF(D6&lt;$V6,$U6,IF(D6&lt;$W6,$V6,IF(D6&lt;$X6,$W6,IF(D6&gt;$X6,$X6))))))</f>
        <v>--</v>
      </c>
      <c r="H6" s="33">
        <f>IF(D6&lt;$T6,$T6,IF(D6&lt;$U6,$U6,IF(D6&lt;$V6,$V6,IF(D6&lt;$W6,$W6,IF(D6&lt;$X6,$X6,IF(D6&gt;$X6,"--"))))))</f>
        <v>0.2</v>
      </c>
      <c r="I6" s="33">
        <f>IF(E6=0,0,IF(E6=1,1,($D6-$G6)/($H6-$G6)))</f>
        <v>0</v>
      </c>
      <c r="J6" s="33">
        <f>C6*E6</f>
        <v>0</v>
      </c>
      <c r="K6" s="33">
        <f>IF(I6=1,0,I6*C6*0.2)</f>
        <v>0</v>
      </c>
      <c r="L6" s="33">
        <f>J6+K6</f>
        <v>0</v>
      </c>
      <c r="M6" s="33">
        <f>L6/C6</f>
        <v>0</v>
      </c>
      <c r="N6" s="40"/>
      <c r="O6" s="40"/>
      <c r="P6" s="41"/>
      <c r="Q6" s="36"/>
      <c r="R6" s="26"/>
      <c r="S6" s="26"/>
      <c r="T6" s="36">
        <v>0.2</v>
      </c>
      <c r="U6" s="36">
        <v>0.4</v>
      </c>
      <c r="V6" s="36">
        <v>0.6</v>
      </c>
      <c r="W6" s="36">
        <v>0.8</v>
      </c>
      <c r="X6" s="36">
        <v>1</v>
      </c>
    </row>
    <row r="7" spans="1:24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42"/>
      <c r="U7" s="42"/>
      <c r="V7" s="42"/>
      <c r="W7" s="42"/>
      <c r="X7" s="42"/>
    </row>
    <row r="8" spans="1:24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42"/>
      <c r="U8" s="42"/>
      <c r="V8" s="42"/>
      <c r="W8" s="42"/>
      <c r="X8" s="42"/>
    </row>
    <row r="9" spans="1:24">
      <c r="A9" s="43" t="s">
        <v>59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26"/>
      <c r="M9" s="26"/>
      <c r="N9" s="26"/>
      <c r="O9" s="26"/>
      <c r="P9" s="26"/>
      <c r="Q9" s="26"/>
      <c r="R9" s="26"/>
      <c r="S9" s="26"/>
      <c r="T9" s="42"/>
      <c r="U9" s="42"/>
      <c r="V9" s="42"/>
      <c r="W9" s="42"/>
      <c r="X9" s="42"/>
    </row>
    <row r="10" spans="1:24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26"/>
      <c r="M10" s="26"/>
      <c r="N10" s="26"/>
      <c r="O10" s="26"/>
      <c r="P10" s="26"/>
      <c r="Q10" s="26"/>
      <c r="R10" s="26"/>
      <c r="S10" s="26"/>
      <c r="T10" s="42"/>
      <c r="U10" s="42"/>
      <c r="V10" s="42"/>
      <c r="W10" s="42"/>
      <c r="X10" s="42"/>
    </row>
    <row r="11" spans="1:24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26"/>
      <c r="M11" s="26"/>
      <c r="N11" s="26"/>
      <c r="O11" s="26"/>
      <c r="P11" s="26"/>
      <c r="Q11" s="26"/>
      <c r="R11" s="26"/>
      <c r="S11" s="26"/>
      <c r="T11" s="42"/>
      <c r="U11" s="42"/>
      <c r="V11" s="42"/>
      <c r="W11" s="42"/>
      <c r="X11" s="42"/>
    </row>
    <row r="12" spans="1:24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26"/>
      <c r="M12" s="26"/>
      <c r="N12" s="26"/>
      <c r="O12" s="26"/>
      <c r="P12" s="26"/>
      <c r="Q12" s="26"/>
      <c r="R12" s="26"/>
      <c r="S12" s="26"/>
      <c r="T12" s="42"/>
      <c r="U12" s="42"/>
      <c r="V12" s="42"/>
      <c r="W12" s="42"/>
      <c r="X12" s="42"/>
    </row>
    <row r="13" spans="1:24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26"/>
      <c r="M13" s="26"/>
      <c r="N13" s="26"/>
      <c r="O13" s="26"/>
      <c r="P13" s="26"/>
      <c r="Q13" s="26"/>
      <c r="R13" s="26"/>
      <c r="S13" s="26"/>
      <c r="T13" s="42"/>
      <c r="U13" s="42"/>
      <c r="V13" s="42"/>
      <c r="W13" s="42"/>
      <c r="X13" s="42"/>
    </row>
    <row r="14" ht="162" customHeight="1" spans="1:2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26"/>
      <c r="M14" s="26"/>
      <c r="N14" s="26"/>
      <c r="O14" s="26"/>
      <c r="P14" s="26"/>
      <c r="Q14" s="26"/>
      <c r="R14" s="26"/>
      <c r="S14" s="26"/>
      <c r="T14" s="42"/>
      <c r="U14" s="42"/>
      <c r="V14" s="42"/>
      <c r="W14" s="42"/>
      <c r="X14" s="42"/>
    </row>
    <row r="15" spans="1:24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42"/>
      <c r="U15" s="42"/>
      <c r="V15" s="42"/>
      <c r="W15" s="42"/>
      <c r="X15" s="42"/>
    </row>
    <row r="16" spans="1:24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42"/>
      <c r="U16" s="42"/>
      <c r="V16" s="42"/>
      <c r="W16" s="42"/>
      <c r="X16" s="42"/>
    </row>
    <row r="17" spans="2:24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42"/>
      <c r="U17" s="42"/>
      <c r="V17" s="42"/>
      <c r="W17" s="42"/>
      <c r="X17" s="42"/>
    </row>
    <row r="18" spans="2:24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42"/>
      <c r="U18" s="42"/>
      <c r="V18" s="42"/>
      <c r="W18" s="42"/>
      <c r="X18" s="42"/>
    </row>
    <row r="19" spans="2:24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42"/>
      <c r="U19" s="42"/>
      <c r="V19" s="42"/>
      <c r="W19" s="42"/>
      <c r="X19" s="42"/>
    </row>
    <row r="20" spans="2:24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42"/>
      <c r="U20" s="42"/>
      <c r="V20" s="42"/>
      <c r="W20" s="42"/>
      <c r="X20" s="42"/>
    </row>
    <row r="21" spans="2:24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42"/>
      <c r="U21" s="42"/>
      <c r="V21" s="42"/>
      <c r="W21" s="42"/>
      <c r="X21" s="42"/>
    </row>
    <row r="22" spans="2:24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42"/>
      <c r="U22" s="42"/>
      <c r="V22" s="42"/>
      <c r="W22" s="42"/>
      <c r="X22" s="42"/>
    </row>
    <row r="23" spans="2:24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42"/>
      <c r="U23" s="42"/>
      <c r="V23" s="42"/>
      <c r="W23" s="42"/>
      <c r="X23" s="42"/>
    </row>
    <row r="24" spans="2:24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42"/>
      <c r="U24" s="42"/>
      <c r="V24" s="42"/>
      <c r="W24" s="42"/>
      <c r="X24" s="42"/>
    </row>
    <row r="25" spans="2:24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42"/>
      <c r="U25" s="42"/>
      <c r="V25" s="42"/>
      <c r="W25" s="42"/>
      <c r="X25" s="42"/>
    </row>
    <row r="26" spans="2:24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42"/>
      <c r="U26" s="42"/>
      <c r="V26" s="42"/>
      <c r="W26" s="42"/>
      <c r="X26" s="42"/>
    </row>
    <row r="27" spans="2:24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42"/>
      <c r="U27" s="42"/>
      <c r="V27" s="42"/>
      <c r="W27" s="42"/>
      <c r="X27" s="42"/>
    </row>
    <row r="28" spans="2:24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42"/>
      <c r="U28" s="42"/>
      <c r="V28" s="42"/>
      <c r="W28" s="42"/>
      <c r="X28" s="42"/>
    </row>
    <row r="29" spans="2:24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42"/>
      <c r="U29" s="42"/>
      <c r="V29" s="42"/>
      <c r="W29" s="42"/>
      <c r="X29" s="42"/>
    </row>
    <row r="30" spans="2:24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42"/>
      <c r="U30" s="42"/>
      <c r="V30" s="42"/>
      <c r="W30" s="42"/>
      <c r="X30" s="42"/>
    </row>
    <row r="31" spans="2:24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42"/>
      <c r="U31" s="42"/>
      <c r="V31" s="42"/>
      <c r="W31" s="42"/>
      <c r="X31" s="42"/>
    </row>
    <row r="32" spans="2:24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42"/>
      <c r="U32" s="42"/>
      <c r="V32" s="42"/>
      <c r="W32" s="42"/>
      <c r="X32" s="42"/>
    </row>
    <row r="33" spans="2:24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42"/>
      <c r="U33" s="42"/>
      <c r="V33" s="42"/>
      <c r="W33" s="42"/>
      <c r="X33" s="42"/>
    </row>
    <row r="34" spans="2:24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42"/>
      <c r="U34" s="42"/>
      <c r="V34" s="42"/>
      <c r="W34" s="42"/>
      <c r="X34" s="42"/>
    </row>
    <row r="35" spans="2:24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42"/>
      <c r="U35" s="42"/>
      <c r="V35" s="42"/>
      <c r="W35" s="42"/>
      <c r="X35" s="42"/>
    </row>
    <row r="36" spans="2:24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42"/>
      <c r="U36" s="42"/>
      <c r="V36" s="42"/>
      <c r="W36" s="42"/>
      <c r="X36" s="42"/>
    </row>
    <row r="37" spans="2:24"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42"/>
      <c r="U37" s="42"/>
      <c r="V37" s="42"/>
      <c r="W37" s="42"/>
      <c r="X37" s="42"/>
    </row>
    <row r="38" spans="2:24"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42"/>
      <c r="U38" s="42"/>
      <c r="V38" s="42"/>
      <c r="W38" s="42"/>
      <c r="X38" s="42"/>
    </row>
    <row r="39" spans="2:24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42"/>
      <c r="U39" s="42"/>
      <c r="V39" s="42"/>
      <c r="W39" s="42"/>
      <c r="X39" s="42"/>
    </row>
    <row r="40" spans="2:24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42"/>
      <c r="U40" s="42"/>
      <c r="V40" s="42"/>
      <c r="W40" s="42"/>
      <c r="X40" s="42"/>
    </row>
    <row r="41" spans="2:24"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42"/>
      <c r="U41" s="42"/>
      <c r="V41" s="42"/>
      <c r="W41" s="42"/>
      <c r="X41" s="42"/>
    </row>
    <row r="42" spans="2:24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42"/>
      <c r="U42" s="42"/>
      <c r="V42" s="42"/>
      <c r="W42" s="42"/>
      <c r="X42" s="42"/>
    </row>
    <row r="43" spans="2:24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42"/>
      <c r="U43" s="42"/>
      <c r="V43" s="42"/>
      <c r="W43" s="42"/>
      <c r="X43" s="42"/>
    </row>
    <row r="44" spans="2:24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42"/>
      <c r="U44" s="42"/>
      <c r="V44" s="42"/>
      <c r="W44" s="42"/>
      <c r="X44" s="42"/>
    </row>
    <row r="45" spans="2:24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42"/>
      <c r="U45" s="42"/>
      <c r="V45" s="42"/>
      <c r="W45" s="42"/>
      <c r="X45" s="42"/>
    </row>
    <row r="46" spans="2:24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42"/>
      <c r="U46" s="42"/>
      <c r="V46" s="42"/>
      <c r="W46" s="42"/>
      <c r="X46" s="42"/>
    </row>
    <row r="47" spans="2:24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42"/>
      <c r="U47" s="42"/>
      <c r="V47" s="42"/>
      <c r="W47" s="42"/>
      <c r="X47" s="42"/>
    </row>
    <row r="48" spans="2:24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42"/>
      <c r="U48" s="42"/>
      <c r="V48" s="42"/>
      <c r="W48" s="42"/>
      <c r="X48" s="42"/>
    </row>
    <row r="49" spans="2:24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42"/>
      <c r="U49" s="42"/>
      <c r="V49" s="42"/>
      <c r="W49" s="42"/>
      <c r="X49" s="42"/>
    </row>
    <row r="50" spans="2:24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42"/>
      <c r="U50" s="42"/>
      <c r="V50" s="42"/>
      <c r="W50" s="42"/>
      <c r="X50" s="42"/>
    </row>
    <row r="51" spans="2:24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42"/>
      <c r="U51" s="42"/>
      <c r="V51" s="42"/>
      <c r="W51" s="42"/>
      <c r="X51" s="42"/>
    </row>
  </sheetData>
  <sheetProtection selectLockedCells="1"/>
  <mergeCells count="10">
    <mergeCell ref="A2:Q2"/>
    <mergeCell ref="A3:B3"/>
    <mergeCell ref="A4:B4"/>
    <mergeCell ref="A5:B5"/>
    <mergeCell ref="A6:B6"/>
    <mergeCell ref="N4:N6"/>
    <mergeCell ref="O4:O6"/>
    <mergeCell ref="P4:P6"/>
    <mergeCell ref="Q4:Q6"/>
    <mergeCell ref="A9:K14"/>
  </mergeCells>
  <hyperlinks>
    <hyperlink ref="A1" location="目录!A1" display="返回主目录"/>
    <hyperlink ref="B1" location="'测算指标实际值 '!A1" display="上一步"/>
    <hyperlink ref="C1" location="资金风险评价结果!A1" display="下一步"/>
  </hyperlink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5"/>
  <sheetViews>
    <sheetView tabSelected="1" zoomScale="160" zoomScaleNormal="160" topLeftCell="A27" workbookViewId="0">
      <selection activeCell="K33" sqref="K33"/>
    </sheetView>
  </sheetViews>
  <sheetFormatPr defaultColWidth="9" defaultRowHeight="14"/>
  <cols>
    <col min="1" max="1" width="14.1681415929204" customWidth="1"/>
    <col min="2" max="2" width="12" customWidth="1"/>
    <col min="3" max="3" width="16.0796460176991" customWidth="1"/>
    <col min="4" max="5" width="17.6637168141593" customWidth="1"/>
    <col min="6" max="6" width="32.4159292035398" customWidth="1"/>
    <col min="7" max="7" width="21.5044247787611" customWidth="1"/>
    <col min="8" max="8" width="17.6637168141593" customWidth="1"/>
    <col min="9" max="9" width="21.7522123893805" customWidth="1"/>
    <col min="10" max="10" width="18.9203539823009" customWidth="1"/>
    <col min="11" max="11" width="20.7522123893805" customWidth="1"/>
    <col min="12" max="12" width="15.8318584070796" customWidth="1"/>
    <col min="13" max="16" width="11.2477876106195" customWidth="1"/>
  </cols>
  <sheetData>
    <row r="1" spans="1:12">
      <c r="A1" s="1" t="s">
        <v>60</v>
      </c>
      <c r="B1" s="1"/>
      <c r="C1" s="1"/>
      <c r="D1" s="1"/>
      <c r="E1" s="1"/>
      <c r="F1" s="1"/>
    </row>
    <row r="2" spans="1:12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</row>
    <row r="3" spans="1:12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</row>
    <row r="4" spans="1:12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</row>
    <row r="5" ht="23" customHeight="1" spans="1:12">
      <c r="J5" t="s">
        <v>79</v>
      </c>
    </row>
    <row r="6" spans="1:12">
      <c r="J6" t="s">
        <v>80</v>
      </c>
      <c r="L6">
        <v>2</v>
      </c>
    </row>
    <row r="7" ht="14.3" spans="1:12">
      <c r="J7" s="3" t="s">
        <v>74</v>
      </c>
      <c r="K7">
        <v>10000</v>
      </c>
      <c r="L7" s="3">
        <f>K7*1.3</f>
        <v>13000</v>
      </c>
    </row>
    <row r="8" ht="14.3" spans="1:12">
      <c r="J8" s="3" t="s">
        <v>75</v>
      </c>
      <c r="K8">
        <v>8000</v>
      </c>
      <c r="L8" s="3">
        <f>K8*1.3</f>
        <v>10400</v>
      </c>
    </row>
    <row r="9" ht="14.3" spans="1:12">
      <c r="A9" s="4" t="s">
        <v>81</v>
      </c>
      <c r="B9" s="4"/>
      <c r="C9" s="4"/>
      <c r="D9" s="4"/>
      <c r="E9" s="5" t="s">
        <v>82</v>
      </c>
      <c r="F9" s="6"/>
      <c r="G9" s="4" t="s">
        <v>83</v>
      </c>
      <c r="H9" s="4"/>
      <c r="J9" s="3" t="s">
        <v>76</v>
      </c>
      <c r="K9">
        <v>5000</v>
      </c>
      <c r="L9" s="3">
        <f>K9*1.3</f>
        <v>6500</v>
      </c>
    </row>
    <row r="10" ht="14.3" spans="1:12">
      <c r="A10" s="7" t="s">
        <v>84</v>
      </c>
      <c r="B10" s="7" t="s">
        <v>85</v>
      </c>
      <c r="C10" s="7" t="s">
        <v>86</v>
      </c>
      <c r="D10" s="7" t="s">
        <v>87</v>
      </c>
      <c r="E10" s="8" t="s">
        <v>88</v>
      </c>
      <c r="F10" s="7" t="s">
        <v>89</v>
      </c>
      <c r="G10" s="8" t="s">
        <v>90</v>
      </c>
      <c r="H10" s="7" t="s">
        <v>91</v>
      </c>
      <c r="J10" s="3" t="s">
        <v>77</v>
      </c>
      <c r="K10">
        <v>3000</v>
      </c>
      <c r="L10" s="3">
        <f>K10*1.3</f>
        <v>3900</v>
      </c>
    </row>
    <row r="11" ht="14.3" spans="1:12">
      <c r="A11" s="7" t="s">
        <v>62</v>
      </c>
      <c r="B11" s="2" t="s">
        <v>74</v>
      </c>
      <c r="C11" s="9">
        <v>10000</v>
      </c>
      <c r="D11" s="9">
        <f>C11*1.3</f>
        <v>13000</v>
      </c>
      <c r="E11" s="7" t="s">
        <v>92</v>
      </c>
      <c r="F11" s="9">
        <v>1</v>
      </c>
      <c r="G11" s="7" t="s">
        <v>93</v>
      </c>
      <c r="H11" s="9">
        <v>0.8</v>
      </c>
      <c r="J11" s="3" t="s">
        <v>78</v>
      </c>
      <c r="K11">
        <v>3000</v>
      </c>
      <c r="L11" s="3">
        <v>3000</v>
      </c>
    </row>
    <row r="12" spans="1:12">
      <c r="A12" s="7" t="s">
        <v>63</v>
      </c>
      <c r="B12" s="2" t="s">
        <v>75</v>
      </c>
      <c r="C12" s="9">
        <v>8000</v>
      </c>
      <c r="D12" s="9">
        <f>C12*1.3</f>
        <v>10400</v>
      </c>
      <c r="E12" s="7" t="s">
        <v>94</v>
      </c>
      <c r="F12" s="9">
        <v>1.2</v>
      </c>
      <c r="G12" s="7" t="s">
        <v>95</v>
      </c>
      <c r="H12" s="9">
        <v>1</v>
      </c>
    </row>
    <row r="13" spans="1:12">
      <c r="A13" s="7" t="s">
        <v>64</v>
      </c>
      <c r="B13" s="2" t="s">
        <v>76</v>
      </c>
      <c r="C13" s="9">
        <v>5000</v>
      </c>
      <c r="D13" s="9">
        <f>C13*1.3</f>
        <v>6500</v>
      </c>
      <c r="E13" s="7" t="s">
        <v>96</v>
      </c>
      <c r="F13" s="9">
        <v>1.5</v>
      </c>
      <c r="G13" s="7" t="s">
        <v>97</v>
      </c>
      <c r="H13" s="9">
        <v>1.3</v>
      </c>
    </row>
    <row r="14" spans="1:12">
      <c r="A14" s="7" t="s">
        <v>65</v>
      </c>
      <c r="B14" s="2" t="s">
        <v>77</v>
      </c>
      <c r="C14" s="9">
        <v>3000</v>
      </c>
      <c r="D14" s="9">
        <f>C14*1.3</f>
        <v>3900</v>
      </c>
      <c r="E14" s="7" t="s">
        <v>98</v>
      </c>
      <c r="F14" s="9">
        <v>1.8</v>
      </c>
      <c r="G14" s="7" t="s">
        <v>99</v>
      </c>
      <c r="H14" s="9">
        <v>1.6</v>
      </c>
    </row>
    <row r="15" spans="1:12">
      <c r="A15" s="7" t="s">
        <v>66</v>
      </c>
      <c r="B15" s="2" t="s">
        <v>78</v>
      </c>
      <c r="C15" s="9">
        <v>3000</v>
      </c>
      <c r="D15" s="9">
        <f>C15*1.3</f>
        <v>3900</v>
      </c>
      <c r="E15" s="7" t="s">
        <v>100</v>
      </c>
      <c r="F15" s="9">
        <v>2</v>
      </c>
      <c r="G15" s="7" t="s">
        <v>101</v>
      </c>
      <c r="H15" s="9">
        <v>2</v>
      </c>
    </row>
    <row r="17" ht="16" customHeight="1" spans="1:11">
      <c r="A17" s="10" t="s">
        <v>102</v>
      </c>
      <c r="B17" s="11"/>
      <c r="C17" s="11"/>
      <c r="D17" s="11"/>
      <c r="E17" s="11"/>
      <c r="F17" s="11"/>
    </row>
    <row r="18" spans="1:11">
      <c r="A18" s="11"/>
      <c r="B18" s="11"/>
      <c r="C18" s="11"/>
      <c r="D18" s="11"/>
      <c r="E18" s="11"/>
      <c r="F18" s="11"/>
    </row>
    <row r="19" spans="1:11">
      <c r="A19" s="11"/>
      <c r="B19" s="11"/>
      <c r="C19" s="11"/>
      <c r="D19" s="11"/>
      <c r="E19" s="11"/>
      <c r="F19" s="11"/>
    </row>
    <row r="20" spans="1:11">
      <c r="A20" s="11"/>
      <c r="B20" s="11"/>
      <c r="C20" s="11"/>
      <c r="D20" s="11"/>
      <c r="E20" s="11"/>
      <c r="F20" s="11"/>
    </row>
    <row r="21" spans="1:11">
      <c r="A21" s="11"/>
      <c r="B21" s="11"/>
      <c r="C21" s="11"/>
      <c r="D21" s="11"/>
      <c r="E21" s="11"/>
      <c r="F21" s="11"/>
    </row>
    <row r="22" spans="1:11">
      <c r="A22" s="11"/>
      <c r="B22" s="11"/>
      <c r="C22" s="11"/>
      <c r="D22" s="11"/>
      <c r="E22" s="11"/>
      <c r="F22" s="11"/>
    </row>
    <row r="23" spans="1:11">
      <c r="A23" s="11"/>
      <c r="B23" s="11"/>
      <c r="C23" s="11"/>
      <c r="D23" s="11"/>
      <c r="E23" s="11"/>
      <c r="F23" s="11"/>
    </row>
    <row r="24" spans="1:11">
      <c r="A24" s="11"/>
      <c r="B24" s="11"/>
      <c r="C24" s="11"/>
      <c r="D24" s="11"/>
      <c r="E24" s="11"/>
      <c r="F24" s="11"/>
    </row>
    <row r="25" spans="1:11">
      <c r="A25" s="11"/>
      <c r="B25" s="11"/>
      <c r="C25" s="11"/>
      <c r="D25" s="11"/>
      <c r="E25" s="11"/>
      <c r="F25" s="11"/>
    </row>
    <row r="26" spans="1:11">
      <c r="A26" s="11"/>
      <c r="B26" s="11"/>
      <c r="C26" s="11"/>
      <c r="D26" s="11"/>
      <c r="E26" s="11"/>
      <c r="F26" s="11"/>
    </row>
    <row r="27" spans="1:11">
      <c r="A27" s="11"/>
      <c r="B27" s="11"/>
      <c r="C27" s="11"/>
      <c r="D27" s="11"/>
      <c r="E27" s="11"/>
      <c r="F27" s="11"/>
    </row>
    <row r="28" spans="1:11">
      <c r="A28" s="11"/>
      <c r="B28" s="11"/>
      <c r="C28" s="11"/>
      <c r="D28" s="11"/>
      <c r="E28" s="11"/>
      <c r="F28" s="11"/>
    </row>
    <row r="29" spans="1:11">
      <c r="A29" s="11"/>
      <c r="B29" s="11"/>
      <c r="C29" s="11"/>
      <c r="D29" s="11"/>
      <c r="E29" s="11"/>
      <c r="F29" s="11"/>
    </row>
    <row r="31" ht="27.3" spans="1:11">
      <c r="A31" s="12" t="s">
        <v>103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ht="27.35" spans="1:11">
      <c r="A32" s="13" t="s">
        <v>104</v>
      </c>
      <c r="B32" s="12"/>
      <c r="C32" s="12"/>
      <c r="D32" s="12" t="s">
        <v>73</v>
      </c>
      <c r="E32" s="12" t="s">
        <v>105</v>
      </c>
      <c r="F32" s="13" t="s">
        <v>106</v>
      </c>
      <c r="G32" s="12" t="s">
        <v>107</v>
      </c>
      <c r="H32" s="12" t="s">
        <v>108</v>
      </c>
      <c r="I32" s="12" t="s">
        <v>109</v>
      </c>
      <c r="J32" s="12" t="s">
        <v>110</v>
      </c>
      <c r="K32" s="12" t="s">
        <v>111</v>
      </c>
    </row>
    <row r="33" ht="54" customHeight="1" spans="1:11">
      <c r="A33" s="14" t="str">
        <f>计算外墙病害风险评分!Q4</f>
        <v>较大风险</v>
      </c>
      <c r="B33" s="14"/>
      <c r="C33" s="14"/>
      <c r="D33" s="14" t="str">
        <f>VLOOKUP(A33,A10:B15,2,FALSE)</f>
        <v>C</v>
      </c>
      <c r="E33" s="15"/>
      <c r="F33" s="14">
        <f>VLOOKUP(D33,J7:L11,L6+1,FALSE)</f>
        <v>6500</v>
      </c>
      <c r="G33" s="2">
        <v>5</v>
      </c>
      <c r="H33" s="14">
        <f>INDEX(F11:F15,G33)</f>
        <v>2</v>
      </c>
      <c r="I33" s="2">
        <v>5</v>
      </c>
      <c r="J33" s="14">
        <f>INDEX(H11:H15,I33)</f>
        <v>2</v>
      </c>
      <c r="K33" s="14">
        <f>F33*H33*J33</f>
        <v>26000</v>
      </c>
    </row>
    <row r="35" ht="15" spans="1:11">
      <c r="A35" s="16" t="s">
        <v>0</v>
      </c>
      <c r="B35" s="17" t="s">
        <v>22</v>
      </c>
      <c r="C35" s="18"/>
    </row>
  </sheetData>
  <sheetProtection selectLockedCells="1"/>
  <mergeCells count="8">
    <mergeCell ref="A1:F1"/>
    <mergeCell ref="A9:D9"/>
    <mergeCell ref="E9:F9"/>
    <mergeCell ref="G9:H9"/>
    <mergeCell ref="A31:K31"/>
    <mergeCell ref="A32:C32"/>
    <mergeCell ref="A33:C33"/>
    <mergeCell ref="A17:F29"/>
  </mergeCells>
  <hyperlinks>
    <hyperlink ref="A35" location="目录!A1" display="返回主目录"/>
    <hyperlink ref="B35" location="计算资金风险评分!A1" display="上一步"/>
  </hyperlink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List Box 1" r:id="rId3">
              <controlPr defaultSize="0">
                <anchor moveWithCells="1">
                  <from>
                    <xdr:col>4</xdr:col>
                    <xdr:colOff>0</xdr:colOff>
                    <xdr:row>32</xdr:row>
                    <xdr:rowOff>38100</xdr:rowOff>
                  </from>
                  <to>
                    <xdr:col>5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List Box 2" r:id="rId4">
              <controlPr defaultSize="0">
                <anchor moveWithCells="1">
                  <from>
                    <xdr:col>6</xdr:col>
                    <xdr:colOff>57150</xdr:colOff>
                    <xdr:row>32</xdr:row>
                    <xdr:rowOff>25400</xdr:rowOff>
                  </from>
                  <to>
                    <xdr:col>7</xdr:col>
                    <xdr:colOff>0</xdr:colOff>
                    <xdr:row>32</xdr:row>
                    <xdr:rowOff>580390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List Box 3" r:id="rId5">
              <controlPr defaultSize="0">
                <anchor moveWithCells="1">
                  <from>
                    <xdr:col>8</xdr:col>
                    <xdr:colOff>25400</xdr:colOff>
                    <xdr:row>32</xdr:row>
                    <xdr:rowOff>44450</xdr:rowOff>
                  </from>
                  <to>
                    <xdr:col>9</xdr:col>
                    <xdr:colOff>0</xdr:colOff>
                    <xdr:row>32</xdr:row>
                    <xdr:rowOff>546100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3" master="" otherUserPermission="visible"/>
  <rangeList sheetStid="1" master="" otherUserPermission="visible"/>
  <rangeList sheetStid="7" master="" otherUserPermission="visible"/>
  <rangeList sheetStid="12" master="" otherUserPermission="visible"/>
  <rangeList sheetStid="1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LG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构建风险判断矩阵</vt:lpstr>
      <vt:lpstr>确定指标权重</vt:lpstr>
      <vt:lpstr>测算指标实际值 </vt:lpstr>
      <vt:lpstr>计算外墙病害风险评分</vt:lpstr>
      <vt:lpstr>外墙病害风险评价结果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田美丽</dc:creator>
  <cp:lastModifiedBy>い惜颜い</cp:lastModifiedBy>
  <dcterms:created xsi:type="dcterms:W3CDTF">2021-04-20T06:11:00Z</dcterms:created>
  <dcterms:modified xsi:type="dcterms:W3CDTF">2026-03-15T11:53:21Z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3D8CCC20D5EC4CF9897655091F42DA49_13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